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Assumptions" sheetId="2" state="visible" r:id="rId4"/>
    <sheet name="HAL_Data" sheetId="3" state="visible" r:id="rId5"/>
    <sheet name="Dassault_Data" sheetId="4" state="visible" r:id="rId6"/>
    <sheet name="Lockheed_Data" sheetId="5" state="visible" r:id="rId7"/>
    <sheet name="Ratios" sheetId="6" state="visible" r:id="rId8"/>
    <sheet name="DuPont" sheetId="7" state="visible" r:id="rId9"/>
    <sheet name="Scorecard" sheetId="8" state="visible" r:id="rId10"/>
    <sheet name="Scenario_Tool" sheetId="9" state="visible" r:id="rId11"/>
    <sheet name="Chart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<sst xmlns="http://schemas.openxmlformats.org/spreadsheetml/2006/main" count="268" uniqueCount="198">
  <si>
    <t xml:space="preserve">Comparative Financial Analysis — HAL vs Dassault vs Lockheed Martin</t>
  </si>
  <si>
    <t xml:space="preserve">Interactive workbook  •  Public-domain data only  •  Not investment advice  •  June 2026</t>
  </si>
  <si>
    <t xml:space="preserve">Sheet</t>
  </si>
  <si>
    <t xml:space="preserve">What it contains</t>
  </si>
  <si>
    <t xml:space="preserve">Assumptions</t>
  </si>
  <si>
    <t xml:space="preserve">FX rates and global assumptions (blue = editable inputs)</t>
  </si>
  <si>
    <t xml:space="preserve">HAL_Data</t>
  </si>
  <si>
    <t xml:space="preserve">HAL five-year source data, ₹ crore (FY22–FY26)</t>
  </si>
  <si>
    <t xml:space="preserve">Dassault_Data</t>
  </si>
  <si>
    <t xml:space="preserve">Dassault five-year source data, € million (2021–2025, adjusted)</t>
  </si>
  <si>
    <t xml:space="preserve">Lockheed_Data</t>
  </si>
  <si>
    <t xml:space="preserve">Lockheed Martin five-year source data, $ million (2021–2025)</t>
  </si>
  <si>
    <t xml:space="preserve">Ratios</t>
  </si>
  <si>
    <t xml:space="preserve">All computed ratios via live formulas linking to the data sheets</t>
  </si>
  <si>
    <t xml:space="preserve">DuPont</t>
  </si>
  <si>
    <t xml:space="preserve">ROE decomposition: margin × asset turnover × leverage</t>
  </si>
  <si>
    <t xml:space="preserve">Scorecard</t>
  </si>
  <si>
    <t xml:space="preserve">A–D benchmarking of HAL against each peer</t>
  </si>
  <si>
    <t xml:space="preserve">Scenario_Tool</t>
  </si>
  <si>
    <t xml:space="preserve">★ Interactive: choose a working-capital scenario &amp; a peer to benchmark</t>
  </si>
  <si>
    <t xml:space="preserve">Charts</t>
  </si>
  <si>
    <t xml:space="preserve">Visual trends generated from the Ratios sheet</t>
  </si>
  <si>
    <t xml:space="preserve">Colour legend</t>
  </si>
  <si>
    <t xml:space="preserve">Blue text</t>
  </si>
  <si>
    <t xml:space="preserve">Hardcoded input — safe to change for scenarios</t>
  </si>
  <si>
    <t xml:space="preserve">Black text</t>
  </si>
  <si>
    <t xml:space="preserve">Formula / calculation</t>
  </si>
  <si>
    <t xml:space="preserve">Green text</t>
  </si>
  <si>
    <t xml:space="preserve">Link pulling from another sheet</t>
  </si>
  <si>
    <t xml:space="preserve">Yellow fill</t>
  </si>
  <si>
    <t xml:space="preserve">Key assumption to review</t>
  </si>
  <si>
    <t xml:space="preserve">Global Assumptions &amp; FX</t>
  </si>
  <si>
    <t xml:space="preserve">Blue cells are editable. FX is for scale context only — all ratio comparisons are currency-neutral.</t>
  </si>
  <si>
    <t xml:space="preserve">Pair</t>
  </si>
  <si>
    <t xml:space="preserve">Rate</t>
  </si>
  <si>
    <t xml:space="preserve">Use</t>
  </si>
  <si>
    <t xml:space="preserve">USD / INR</t>
  </si>
  <si>
    <t xml:space="preserve">USD-equivalents for HAL context</t>
  </si>
  <si>
    <t xml:space="preserve">EUR / USD</t>
  </si>
  <si>
    <t xml:space="preserve">USD-equivalents for Dassault context</t>
  </si>
  <si>
    <t xml:space="preserve">EUR / INR</t>
  </si>
  <si>
    <t xml:space="preserve">Cross-context reference</t>
  </si>
  <si>
    <t xml:space="preserve">Window: HAL FY2022–FY2026 (Mar y/e) ; Dassault &amp; Lockheed CY2021–CY2025 (Dec y/e), aligned nearest-year.</t>
  </si>
  <si>
    <t xml:space="preserve">HAL — Source Data (₹ crore, consolidated)</t>
  </si>
  <si>
    <t xml:space="preserve">Source: HAL annual reports &amp; BSE/NSE filings FY22–FY26. Blue = input.</t>
  </si>
  <si>
    <t xml:space="preserve">Metric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</si>
  <si>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</si>
  <si>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</si>
  <si>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</si>
  <si>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</si>
  <si>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</si>
  <si>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Revenue</t>
  </si>
  <si>
    <t xml:space="preserve">EBITDA</t>
  </si>
  <si>
    <t xml:space="preserve">Other income</t>
  </si>
  <si>
    <t xml:space="preserve">Interest</t>
  </si>
  <si>
    <t xml:space="preserve">Depreciation</t>
  </si>
  <si>
    <t xml:space="preserve">PBT</t>
  </si>
  <si>
    <t xml:space="preserve">Net profit</t>
  </si>
  <si>
    <t xml:space="preserve">Expenses (COGS+opex)</t>
  </si>
  <si>
    <t xml:space="preserve">Shareholders' equity</t>
  </si>
  <si>
    <t xml:space="preserve">Borrowings</t>
  </si>
  <si>
    <t xml:space="preserve">Total assets</t>
  </si>
  <si>
    <t xml:space="preserve">Inventory days</t>
  </si>
  <si>
    <t xml:space="preserve">Receivable days</t>
  </si>
  <si>
    <t xml:space="preserve">Payable days</t>
  </si>
  <si>
    <t xml:space="preserve">Cash-conversion cycle</t>
  </si>
  <si>
    <t xml:space="preserve">ROCE (reported)</t>
  </si>
  <si>
    <t xml:space="preserve">EPS (₹)</t>
  </si>
  <si>
    <t xml:space="preserve">Dividend payout</t>
  </si>
  <si>
    <t xml:space="preserve">Order book (approx ₹cr)</t>
  </si>
  <si>
    <t xml:space="preserve">Dassault Aviation — Source Data (€ million, adjusted)</t>
  </si>
  <si>
    <t xml:space="preserve">Source: Dassault annual reports &amp; financial releases 2021–2025. Blue = input.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</si>
  <si>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</si>
  <si>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</si>
  <si>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</si>
  <si>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</si>
  <si>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</si>
  <si>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Adj. net sales</t>
  </si>
  <si>
    <t xml:space="preserve">Adj. operating income</t>
  </si>
  <si>
    <t xml:space="preserve">Adj. net income</t>
  </si>
  <si>
    <t xml:space="preserve">of which Thales contribution</t>
  </si>
  <si>
    <t xml:space="preserve">Self-funded R&amp;D</t>
  </si>
  <si>
    <t xml:space="preserve">Order backlog</t>
  </si>
  <si>
    <t xml:space="preserve">Order intake</t>
  </si>
  <si>
    <t xml:space="preserve">Available cash</t>
  </si>
  <si>
    <t xml:space="preserve">EPS (€)</t>
  </si>
  <si>
    <t xml:space="preserve">Dividend / share (€)</t>
  </si>
  <si>
    <t xml:space="preserve">Lockheed Martin — Source Data ($ million)</t>
  </si>
  <si>
    <t xml:space="preserve">Source: Lockheed Martin 10-K &amp; earnings releases 2021–2025. Blue = input.</t>
  </si>
  <si>
    <t xml:space="preserve">Gross profit</t>
  </si>
  <si>
    <t xml:space="preserve">EBIT</t>
  </si>
  <si>
    <t xml:space="preserve">Net income</t>
  </si>
  <si>
    <t xml:space="preserve">Net debt</t>
  </si>
  <si>
    <t xml:space="preserve">CapEx</t>
  </si>
  <si>
    <t xml:space="preserve">Free cash flow</t>
  </si>
  <si>
    <t xml:space="preserve">EPS ($)</t>
  </si>
  <si>
    <t xml:space="preserve">EBITDA margin</t>
  </si>
  <si>
    <t xml:space="preserve">Computed Ratios (live formulas)</t>
  </si>
  <si>
    <t xml:space="preserve">Black = formula; green = pulls from a data sheet. Edit any blue input on a data sheet and these update on recalc.</t>
  </si>
  <si>
    <t xml:space="preserve">HAL</t>
  </si>
  <si>
    <t xml:space="preserve">Ratio</t>
  </si>
  <si>
    <t xml:space="preserve">Net margin</t>
  </si>
  <si>
    <t xml:space="preserve">ROE</t>
  </si>
  <si>
    <t xml:space="preserve">ROA</t>
  </si>
  <si>
    <t xml:space="preserve">Net debt / EBITDA</t>
  </si>
  <si>
    <t xml:space="preserve">Dassault (adjusted)</t>
  </si>
  <si>
    <t xml:space="preserve">Net margin (reported)</t>
  </si>
  <si>
    <t xml:space="preserve">Net margin (ex-Thales)</t>
  </si>
  <si>
    <t xml:space="preserve">Operating margin</t>
  </si>
  <si>
    <t xml:space="preserve">Self-funded R&amp;D % sales</t>
  </si>
  <si>
    <t xml:space="preserve">Lockheed Martin</t>
  </si>
  <si>
    <t xml:space="preserve">Gross margin</t>
  </si>
  <si>
    <t xml:space="preserve">EBIT margin</t>
  </si>
  <si>
    <t xml:space="preserve">Revenue CAGR (5-yr) &amp; latest-year comparison</t>
  </si>
  <si>
    <t xml:space="preserve">Metric (latest yr)</t>
  </si>
  <si>
    <t xml:space="preserve">Dassault</t>
  </si>
  <si>
    <t xml:space="preserve">Lockheed</t>
  </si>
  <si>
    <t xml:space="preserve">Revenue CAGR</t>
  </si>
  <si>
    <t xml:space="preserve">Return on assets</t>
  </si>
  <si>
    <t xml:space="preserve">DuPont Decomposition of ROE  (latest year)</t>
  </si>
  <si>
    <t xml:space="preserve">ROE = Net margin × Asset turnover × Equity multiplier.  *Dassault assets/equity are approximate inputs.</t>
  </si>
  <si>
    <t xml:space="preserve">Company</t>
  </si>
  <si>
    <t xml:space="preserve">Asset turnover</t>
  </si>
  <si>
    <t xml:space="preserve">Equity multiplier</t>
  </si>
  <si>
    <t xml:space="preserve">ROE (= product)</t>
  </si>
  <si>
    <t xml:space="preserve">Assets</t>
  </si>
  <si>
    <t xml:space="preserve">Equity</t>
  </si>
  <si>
    <t xml:space="preserve">Dassault approx (€m):</t>
  </si>
  <si>
    <t xml:space="preserve">Dassault*</t>
  </si>
  <si>
    <t xml:space="preserve">Read: HAL &amp; Dassault reach a similar ROE by different routes (HAL via margin); Lockheed's high ROE is mostly leverage (equity multiplier &gt; 8×).</t>
  </si>
  <si>
    <t xml:space="preserve">Benchmarking Scorecard</t>
  </si>
  <si>
    <t xml:space="preserve">A = HAL clearly stronger → D = HAL clearly weaker, relative to that peer.</t>
  </si>
  <si>
    <t xml:space="preserve">Parameter</t>
  </si>
  <si>
    <t xml:space="preserve">HAL vs Dassault</t>
  </si>
  <si>
    <t xml:space="preserve">HAL vs Lockheed</t>
  </si>
  <si>
    <t xml:space="preserve">Comment</t>
  </si>
  <si>
    <t xml:space="preserve">Profitability (margins)</t>
  </si>
  <si>
    <t xml:space="preserve">A</t>
  </si>
  <si>
    <t xml:space="preserve">B</t>
  </si>
  <si>
    <t xml:space="preserve">HAL ahead; Dassault flattered by Thales</t>
  </si>
  <si>
    <t xml:space="preserve">Returns quality (ROA/ROCE)</t>
  </si>
  <si>
    <t xml:space="preserve">HAL high-quality; LMT ROE via leverage</t>
  </si>
  <si>
    <t xml:space="preserve">Liquidity / net cash</t>
  </si>
  <si>
    <t xml:space="preserve">HAL &amp; Dassault net-cash; LMT levered</t>
  </si>
  <si>
    <t xml:space="preserve">Solvency / leverage</t>
  </si>
  <si>
    <t xml:space="preserve">HAL near debt-free</t>
  </si>
  <si>
    <t xml:space="preserve">Efficiency / working capital</t>
  </si>
  <si>
    <t xml:space="preserve">D</t>
  </si>
  <si>
    <t xml:space="preserve">C</t>
  </si>
  <si>
    <t xml:space="preserve">HAL's main weakness — inventory lock-up</t>
  </si>
  <si>
    <t xml:space="preserve">Revenue growth</t>
  </si>
  <si>
    <t xml:space="preserve">HAL fastest &amp; steadiest</t>
  </si>
  <si>
    <t xml:space="preserve">Order-book visibility</t>
  </si>
  <si>
    <t xml:space="preserve">All strong; Dassault deepest cover</t>
  </si>
  <si>
    <t xml:space="preserve">R&amp;D intensity (on-books)</t>
  </si>
  <si>
    <t xml:space="preserve">Misleading — much HAL R&amp;D off-books</t>
  </si>
  <si>
    <t xml:space="preserve">IP / design authority</t>
  </si>
  <si>
    <t xml:space="preserve">Peers own platform IP</t>
  </si>
  <si>
    <t xml:space="preserve">Diversification</t>
  </si>
  <si>
    <t xml:space="preserve">HAL &amp; Dassault concentrated; LMT broad</t>
  </si>
  <si>
    <t xml:space="preserve">Capital return to holders</t>
  </si>
  <si>
    <t xml:space="preserve">LMT &amp; Dassault higher payout</t>
  </si>
  <si>
    <t xml:space="preserve">Valuation / growth premium</t>
  </si>
  <si>
    <t xml:space="preserve">Market already rewards HAL</t>
  </si>
  <si>
    <t xml:space="preserve">★ Interactive Scenario Tool</t>
  </si>
  <si>
    <t xml:space="preserve">Pick options from the yellow dropdowns. Outputs recalculate automatically.</t>
  </si>
  <si>
    <t xml:space="preserve">Step 1 — Working-capital improvement scenario:</t>
  </si>
  <si>
    <t xml:space="preserve">Base case</t>
  </si>
  <si>
    <t xml:space="preserve">Step 2 — Benchmark HAL against which peer:</t>
  </si>
  <si>
    <t xml:space="preserve">Scenario assumptions (editable):</t>
  </si>
  <si>
    <t xml:space="preserve">Scenario</t>
  </si>
  <si>
    <t xml:space="preserve">Inventory-day reduction</t>
  </si>
  <si>
    <t xml:space="preserve">Conservative</t>
  </si>
  <si>
    <t xml:space="preserve">Aggressive</t>
  </si>
  <si>
    <t xml:space="preserve">Working-capital cash-release calculation</t>
  </si>
  <si>
    <t xml:space="preserve">Current inventory days (FY26)</t>
  </si>
  <si>
    <t xml:space="preserve">Annual COGS / expenses (FY26, ₹cr)</t>
  </si>
  <si>
    <t xml:space="preserve">Selected reduction %</t>
  </si>
  <si>
    <t xml:space="preserve">New inventory days</t>
  </si>
  <si>
    <t xml:space="preserve">Inventory days saved</t>
  </si>
  <si>
    <t xml:space="preserve">Implied inventory value today (₹cr)</t>
  </si>
  <si>
    <t xml:space="preserve">➤ CASH RELEASED (₹ crore)</t>
  </si>
  <si>
    <t xml:space="preserve">(≈ cash freed in one year if the selected inventory-day reduction is achieved, holding COGS constant)</t>
  </si>
  <si>
    <t xml:space="preserve">HAL vs selected peer — latest year</t>
  </si>
  <si>
    <t xml:space="preserve">Selected peer</t>
  </si>
  <si>
    <t xml:space="preserve">Revenue CAGR (5-yr)</t>
  </si>
  <si>
    <t xml:space="preserve">Tip: change the dropdowns in D4 / D5 and press recalc (or just reopen) to see every figure update.</t>
  </si>
  <si>
    <t xml:space="preserve">Visual Trends</t>
  </si>
  <si>
    <t xml:space="preserve">Charts read directly from the Ratios sheet.</t>
  </si>
  <si>
    <t xml:space="preserve">Net margin (%) — pulled for charting</t>
  </si>
  <si>
    <t xml:space="preserve">Year</t>
  </si>
  <si>
    <t xml:space="preserve">Dassault (rep.)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</si>
  <si>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</si>
  <si>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</si>
  <si>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</si>
  <si>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</si>
  <si>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</si>
  <si>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Latest-year net margin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</si>
</sst>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#,##0"/>
    <numFmt numFmtId="167" formatCode="0"/>
    <numFmt numFmtId="168" formatCode="0.0%"/>
    <numFmt numFmtId="169" formatCode="0%"/>
    <numFmt numFmtId="170" formatCode="0.0\×"/>
    <numFmt numFmtId="171" formatCode="0.00\×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6F5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C9A1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2F5B8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6F54"/>
      <name val="Arial"/>
      <family val="0"/>
      <charset val="1"/>
    </font>
    <font>
      <b val="true"/>
      <sz val="10"/>
      <color rgb="FF3A8F6F"/>
      <name val="Arial"/>
      <family val="0"/>
      <charset val="1"/>
    </font>
    <font>
      <b val="true"/>
      <sz val="10"/>
      <color rgb="FFC4561F"/>
      <name val="Arial"/>
      <family val="0"/>
      <charset val="1"/>
    </font>
    <font>
      <b val="true"/>
      <sz val="10"/>
      <color rgb="FFB58A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6F54"/>
        <bgColor rgb="FF008080"/>
      </patternFill>
    </fill>
    <fill>
      <patternFill patternType="solid">
        <fgColor rgb="FFF4F7F6"/>
        <bgColor rgb="FFFFFFFF"/>
      </patternFill>
    </fill>
    <fill>
      <patternFill patternType="solid">
        <fgColor rgb="FFFFF6CC"/>
        <bgColor rgb="FFF6EFD7"/>
      </patternFill>
    </fill>
    <fill>
      <patternFill patternType="solid">
        <fgColor rgb="FFD7E8E0"/>
        <bgColor rgb="FFE2EFE9"/>
      </patternFill>
    </fill>
    <fill>
      <patternFill patternType="solid">
        <fgColor rgb="FFE2EFE9"/>
        <bgColor rgb="FFD7E8E0"/>
      </patternFill>
    </fill>
    <fill>
      <patternFill patternType="solid">
        <fgColor rgb="FFF6E2D5"/>
        <bgColor rgb="FFF6EFD7"/>
      </patternFill>
    </fill>
    <fill>
      <patternFill patternType="solid">
        <fgColor rgb="FFF6EFD7"/>
        <bgColor rgb="FFFFF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8A00"/>
      <rgbColor rgb="FF800080"/>
      <rgbColor rgb="FF1F6F54"/>
      <rgbColor rgb="FFCCCCCC"/>
      <rgbColor rgb="FF878787"/>
      <rgbColor rgb="FF9999FF"/>
      <rgbColor rgb="FFBE4B48"/>
      <rgbColor rgb="FFFFF6CC"/>
      <rgbColor rgb="FFE2EF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7F6"/>
      <rgbColor rgb="FFD7E8E0"/>
      <rgbColor rgb="FFF6EFD7"/>
      <rgbColor rgb="FF99CCFF"/>
      <rgbColor rgb="FFFF99CC"/>
      <rgbColor rgb="FFCC99FF"/>
      <rgbColor rgb="FFF6E2D5"/>
      <rgbColor rgb="FF4F81BD"/>
      <rgbColor rgb="FF33CCCC"/>
      <rgbColor rgb="FF98B855"/>
      <rgbColor rgb="FFFFCC00"/>
      <rgbColor rgb="FFC9A100"/>
      <rgbColor rgb="FFC4561F"/>
      <rgbColor rgb="FF4A7EBB"/>
      <rgbColor rgb="FF969696"/>
      <rgbColor rgb="FF003366"/>
      <rgbColor rgb="FF3A8F6F"/>
      <rgbColor rgb="FF003300"/>
      <rgbColor rgb="FF555555"/>
      <rgbColor rgb="FF993300"/>
      <rgbColor rgb="FF993366"/>
      <rgbColor rgb="FF2F5B8F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profit margin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Charts!B5</c:f>
              <c:strCache>
                <c:ptCount val="1"/>
                <c:pt idx="0">
                  <c:v>HAL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Charts!$A$6:$A$10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Charts!$B$6:$B$10</c:f>
              <c:numCache>
                <c:formatCode>0.0%</c:formatCode>
                <c:ptCount val="5"/>
                <c:pt idx="0">
                  <c:v>0.206336311941511</c:v>
                </c:pt>
                <c:pt idx="1">
                  <c:v>0.216437033460839</c:v>
                </c:pt>
                <c:pt idx="2">
                  <c:v>0.250847569204437</c:v>
                </c:pt>
                <c:pt idx="3">
                  <c:v>0.26997191827249</c:v>
                </c:pt>
                <c:pt idx="4">
                  <c:v>0.275499410680287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Charts!C5</c:f>
              <c:strCache>
                <c:ptCount val="1"/>
                <c:pt idx="0">
                  <c:v>Dassault (rep.)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Charts!$A$6:$A$10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Charts!$C$6:$C$10</c:f>
              <c:numCache>
                <c:formatCode>0.0%</c:formatCode>
                <c:ptCount val="5"/>
                <c:pt idx="0">
                  <c:v>0.0957976223389549</c:v>
                </c:pt>
                <c:pt idx="1">
                  <c:v>0.11976911976912</c:v>
                </c:pt>
                <c:pt idx="2">
                  <c:v>0.184391259105099</c:v>
                </c:pt>
                <c:pt idx="3">
                  <c:v>0.169993560849968</c:v>
                </c:pt>
                <c:pt idx="4">
                  <c:v>0.142914870689655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Charts!D5</c:f>
              <c:strCache>
                <c:ptCount val="1"/>
                <c:pt idx="0">
                  <c:v>Lockheed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Charts!$A$6:$A$10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Charts!$D$6:$D$10</c:f>
              <c:numCache>
                <c:formatCode>0.0%</c:formatCode>
                <c:ptCount val="5"/>
                <c:pt idx="0">
                  <c:v>0.0941918739931985</c:v>
                </c:pt>
                <c:pt idx="1">
                  <c:v>0.0868695441319108</c:v>
                </c:pt>
                <c:pt idx="2">
                  <c:v>0.102410797531485</c:v>
                </c:pt>
                <c:pt idx="3">
                  <c:v>0.0751094407612291</c:v>
                </c:pt>
                <c:pt idx="4">
                  <c:v>0.0668505489819849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903953"/>
        <c:axId val="57462264"/>
      </c:lineChart>
      <c:catAx>
        <c:axId val="459039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62264"/>
        <c:crosses val="autoZero"/>
        <c:auto val="1"/>
        <c:lblAlgn val="ctr"/>
        <c:lblOffset val="100"/>
        <c:noMultiLvlLbl val="0"/>
      </c:catAx>
      <c:valAx>
        <c:axId val="5746226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9039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margin — latest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Charts!B14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Charts!$A$15:$A$17</c:f>
              <c:strCache>
                <c:ptCount val="3"/>
                <c:pt idx="0">
                  <c:v>HAL</c:v>
                </c:pt>
                <c:pt idx="1">
                  <c:v>Dassault</c:v>
                </c:pt>
                <c:pt idx="2">
                  <c:v>Lockheed</c:v>
                </c:pt>
              </c:strCache>
            </c:strRef>
          </c:cat>
          <c:val>
            <c:numRef>
              <c:f>Charts!$B$15:$B$17</c:f>
              <c:numCache>
                <c:formatCode>0.0%</c:formatCode>
                <c:ptCount val="3"/>
                <c:pt idx="0">
                  <c:v>0.275499410680287</c:v>
                </c:pt>
                <c:pt idx="1">
                  <c:v>0.142914870689655</c:v>
                </c:pt>
                <c:pt idx="2">
                  <c:v>0.0668505489819849</c:v>
                </c:pt>
              </c:numCache>
            </c:numRef>
          </c:val>
        </c:ser>
        <c:gapWidth val="150"/>
        <c:overlap val="0"/>
        <c:axId val="53845940"/>
        <c:axId val="12388491"/>
      </c:barChart>
      <c:catAx>
        <c:axId val="538459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88491"/>
        <c:crosses val="autoZero"/>
        <c:auto val="1"/>
        <c:lblAlgn val="ctr"/>
        <c:lblOffset val="100"/>
        <c:noMultiLvlLbl val="0"/>
      </c:catAx>
      <c:valAx>
        <c:axId val="123884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459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145440</xdr:rowOff>
    </xdr:from>
    <xdr:to>
      <xdr:col>13</xdr:col>
      <xdr:colOff>507600</xdr:colOff>
      <xdr:row>16</xdr:row>
      <xdr:rowOff>178200</xdr:rowOff>
    </xdr:to>
    <xdr:graphicFrame>
      <xdr:nvGraphicFramePr>
        <xdr:cNvPr id="0" name="Chart 1"/>
        <xdr:cNvGraphicFramePr/>
      </xdr:nvGraphicFramePr>
      <xdr:xfrm>
        <a:off x="455868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145440</xdr:rowOff>
    </xdr:from>
    <xdr:to>
      <xdr:col>12</xdr:col>
      <xdr:colOff>39240</xdr:colOff>
      <xdr:row>32</xdr:row>
      <xdr:rowOff>177840</xdr:rowOff>
    </xdr:to>
    <xdr:graphicFrame>
      <xdr:nvGraphicFramePr>
        <xdr:cNvPr id="1" name="Chart 2"/>
        <xdr:cNvGraphicFramePr/>
      </xdr:nvGraphicFramePr>
      <xdr:xfrm>
        <a:off x="4558680" y="361944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6" t="s">
        <v>6</v>
      </c>
      <c r="B6" s="7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6" t="s">
        <v>10</v>
      </c>
      <c r="B8" s="7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  <row r="10" customFormat="false" ht="15" hidden="false" customHeight="false" outlineLevel="0" collapsed="false">
      <c r="A10" s="6" t="s">
        <v>14</v>
      </c>
      <c r="B10" s="7" t="s">
        <v>15</v>
      </c>
    </row>
    <row r="11" customFormat="false" ht="15" hidden="false" customHeight="false" outlineLevel="0" collapsed="false">
      <c r="A11" s="4" t="s">
        <v>16</v>
      </c>
      <c r="B11" s="5" t="s">
        <v>17</v>
      </c>
    </row>
    <row r="12" customFormat="false" ht="15" hidden="false" customHeight="false" outlineLevel="0" collapsed="false">
      <c r="A12" s="6" t="s">
        <v>18</v>
      </c>
      <c r="B12" s="7" t="s">
        <v>19</v>
      </c>
    </row>
    <row r="13" customFormat="false" ht="15" hidden="false" customHeight="false" outlineLevel="0" collapsed="false">
      <c r="A13" s="4" t="s">
        <v>20</v>
      </c>
      <c r="B13" s="5" t="s">
        <v>21</v>
      </c>
    </row>
    <row r="15" customFormat="false" ht="15" hidden="false" customHeight="false" outlineLevel="0" collapsed="false">
      <c r="A15" s="8" t="s">
        <v>22</v>
      </c>
    </row>
    <row r="16" customFormat="false" ht="15" hidden="false" customHeight="false" outlineLevel="0" collapsed="false">
      <c r="A16" s="9" t="s">
        <v>23</v>
      </c>
      <c r="B16" s="7" t="s">
        <v>24</v>
      </c>
    </row>
    <row r="17" customFormat="false" ht="15" hidden="false" customHeight="false" outlineLevel="0" collapsed="false">
      <c r="A17" s="10" t="s">
        <v>25</v>
      </c>
      <c r="B17" s="7" t="s">
        <v>26</v>
      </c>
    </row>
    <row r="18" customFormat="false" ht="15" hidden="false" customHeight="false" outlineLevel="0" collapsed="false">
      <c r="A18" s="11" t="s">
        <v>27</v>
      </c>
      <c r="B18" s="7" t="s">
        <v>28</v>
      </c>
    </row>
    <row r="19" customFormat="false" ht="15" hidden="false" customHeight="false" outlineLevel="0" collapsed="false">
      <c r="A19" s="12" t="s">
        <v>29</v>
      </c>
      <c r="B19" s="7" t="s">
        <v>30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4"/>
  </cols>
  <sheetData>
    <row r="1" customFormat="false" ht="18.5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15" hidden="false" customHeight="false" outlineLevel="0" collapsed="false">
      <c r="A4" s="3" t="s">
        <v>33</v>
      </c>
      <c r="B4" s="13" t="s">
        <v>34</v>
      </c>
      <c r="C4" s="13" t="s">
        <v>35</v>
      </c>
    </row>
    <row r="5" customFormat="false" ht="15" hidden="false" customHeight="false" outlineLevel="0" collapsed="false">
      <c r="A5" s="6" t="s">
        <v>36</v>
      </c>
      <c r="B5" s="14" t="n">
        <v>85</v>
      </c>
      <c r="C5" s="7" t="s">
        <v>37</v>
      </c>
    </row>
    <row r="6" customFormat="false" ht="15" hidden="false" customHeight="false" outlineLevel="0" collapsed="false">
      <c r="A6" s="4" t="s">
        <v>38</v>
      </c>
      <c r="B6" s="14" t="n">
        <v>1.08</v>
      </c>
      <c r="C6" s="5" t="s">
        <v>39</v>
      </c>
    </row>
    <row r="7" customFormat="false" ht="15" hidden="false" customHeight="false" outlineLevel="0" collapsed="false">
      <c r="A7" s="6" t="s">
        <v>40</v>
      </c>
      <c r="B7" s="14" t="n">
        <v>92</v>
      </c>
      <c r="C7" s="7" t="s">
        <v>41</v>
      </c>
    </row>
    <row r="9" customFormat="false" ht="15" hidden="false" customHeight="false" outlineLevel="0" collapsed="false">
      <c r="A9" s="2" t="s">
        <v>42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2"/>
  </cols>
  <sheetData>
    <row r="1" customFormat="false" ht="18.5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3" t="s">
        <v>45</v>
      </c>
      <c r="B4" s="13" t="s">
        <v>46</v>
      </c>
      <c r="C4" s="13" t="s">
        <v>47</v>
      </c>
      <c r="D4" s="13" t="s">
        <v>48</v>
      </c>
      <c r="E4" s="13" t="s">
        <v>49</v>
      </c>
      <c r="F4" s="13" t="s">
        <v>50</v>
      </c>
    </row>
    <row r="5" customFormat="false" ht="15" hidden="false" customHeight="false" outlineLevel="0" collapsed="false">
      <c r="A5" s="6" t="s">
        <v>51</v>
      </c>
      <c r="B5" s="15" t="n">
        <v>24620</v>
      </c>
      <c r="C5" s="15" t="n">
        <v>26927</v>
      </c>
      <c r="D5" s="15" t="n">
        <v>30381</v>
      </c>
      <c r="E5" s="15" t="n">
        <v>30981</v>
      </c>
      <c r="F5" s="15" t="n">
        <v>33089</v>
      </c>
    </row>
    <row r="6" customFormat="false" ht="15" hidden="false" customHeight="false" outlineLevel="0" collapsed="false">
      <c r="A6" s="4" t="s">
        <v>52</v>
      </c>
      <c r="B6" s="16" t="n">
        <v>5415</v>
      </c>
      <c r="C6" s="16" t="n">
        <v>6686</v>
      </c>
      <c r="D6" s="16" t="n">
        <v>9752</v>
      </c>
      <c r="E6" s="16" t="n">
        <v>9621</v>
      </c>
      <c r="F6" s="16" t="n">
        <v>9770</v>
      </c>
    </row>
    <row r="7" customFormat="false" ht="15" hidden="false" customHeight="false" outlineLevel="0" collapsed="false">
      <c r="A7" s="6" t="s">
        <v>53</v>
      </c>
      <c r="B7" s="15" t="n">
        <v>985</v>
      </c>
      <c r="C7" s="15" t="n">
        <v>1673</v>
      </c>
      <c r="D7" s="15" t="n">
        <v>1923</v>
      </c>
      <c r="E7" s="15" t="n">
        <v>2608</v>
      </c>
      <c r="F7" s="15" t="n">
        <v>3743</v>
      </c>
    </row>
    <row r="8" customFormat="false" ht="15" hidden="false" customHeight="false" outlineLevel="0" collapsed="false">
      <c r="A8" s="4" t="s">
        <v>54</v>
      </c>
      <c r="B8" s="16" t="n">
        <v>65</v>
      </c>
      <c r="C8" s="16" t="n">
        <v>64</v>
      </c>
      <c r="D8" s="16" t="n">
        <v>43</v>
      </c>
      <c r="E8" s="16" t="n">
        <v>22</v>
      </c>
      <c r="F8" s="16" t="n">
        <v>6</v>
      </c>
    </row>
    <row r="9" customFormat="false" ht="15" hidden="false" customHeight="false" outlineLevel="0" collapsed="false">
      <c r="A9" s="6" t="s">
        <v>55</v>
      </c>
      <c r="B9" s="15" t="n">
        <v>1111</v>
      </c>
      <c r="C9" s="15" t="n">
        <v>1785</v>
      </c>
      <c r="D9" s="15" t="n">
        <v>1407</v>
      </c>
      <c r="E9" s="15" t="n">
        <v>1340</v>
      </c>
      <c r="F9" s="15" t="n">
        <v>1355</v>
      </c>
    </row>
    <row r="10" customFormat="false" ht="15" hidden="false" customHeight="false" outlineLevel="0" collapsed="false">
      <c r="A10" s="4" t="s">
        <v>56</v>
      </c>
      <c r="B10" s="16" t="n">
        <v>5225</v>
      </c>
      <c r="C10" s="16" t="n">
        <v>6510</v>
      </c>
      <c r="D10" s="16" t="n">
        <v>10225</v>
      </c>
      <c r="E10" s="16" t="n">
        <v>10867</v>
      </c>
      <c r="F10" s="16" t="n">
        <v>12152</v>
      </c>
    </row>
    <row r="11" customFormat="false" ht="15" hidden="false" customHeight="false" outlineLevel="0" collapsed="false">
      <c r="A11" s="6" t="s">
        <v>57</v>
      </c>
      <c r="B11" s="15" t="n">
        <v>5080</v>
      </c>
      <c r="C11" s="15" t="n">
        <v>5828</v>
      </c>
      <c r="D11" s="15" t="n">
        <v>7621</v>
      </c>
      <c r="E11" s="15" t="n">
        <v>8364</v>
      </c>
      <c r="F11" s="15" t="n">
        <v>9116</v>
      </c>
    </row>
    <row r="12" customFormat="false" ht="15" hidden="false" customHeight="false" outlineLevel="0" collapsed="false">
      <c r="A12" s="4" t="s">
        <v>58</v>
      </c>
      <c r="B12" s="16" t="n">
        <v>19205</v>
      </c>
      <c r="C12" s="16" t="n">
        <v>20242</v>
      </c>
      <c r="D12" s="16" t="n">
        <v>20630</v>
      </c>
      <c r="E12" s="16" t="n">
        <v>21360</v>
      </c>
      <c r="F12" s="16" t="n">
        <v>23319</v>
      </c>
    </row>
    <row r="13" customFormat="false" ht="15" hidden="false" customHeight="false" outlineLevel="0" collapsed="false">
      <c r="A13" s="6" t="s">
        <v>59</v>
      </c>
      <c r="B13" s="15" t="n">
        <v>19313</v>
      </c>
      <c r="C13" s="15" t="n">
        <v>23572</v>
      </c>
      <c r="D13" s="15" t="n">
        <v>29138</v>
      </c>
      <c r="E13" s="15" t="n">
        <v>34981</v>
      </c>
      <c r="F13" s="15" t="n">
        <v>41041</v>
      </c>
    </row>
    <row r="14" customFormat="false" ht="15" hidden="false" customHeight="false" outlineLevel="0" collapsed="false">
      <c r="A14" s="4" t="s">
        <v>60</v>
      </c>
      <c r="B14" s="16" t="n">
        <v>49</v>
      </c>
      <c r="C14" s="16" t="n">
        <v>52</v>
      </c>
      <c r="D14" s="16" t="n">
        <v>50</v>
      </c>
      <c r="E14" s="16" t="n">
        <v>51</v>
      </c>
      <c r="F14" s="16" t="n">
        <v>11</v>
      </c>
    </row>
    <row r="15" customFormat="false" ht="15" hidden="false" customHeight="false" outlineLevel="0" collapsed="false">
      <c r="A15" s="6" t="s">
        <v>61</v>
      </c>
      <c r="B15" s="15" t="n">
        <v>60254</v>
      </c>
      <c r="C15" s="15" t="n">
        <v>69276</v>
      </c>
      <c r="D15" s="15" t="n">
        <v>80911</v>
      </c>
      <c r="E15" s="15" t="n">
        <v>108698</v>
      </c>
      <c r="F15" s="15" t="n">
        <v>132415</v>
      </c>
    </row>
    <row r="16" customFormat="false" ht="15" hidden="false" customHeight="false" outlineLevel="0" collapsed="false">
      <c r="A16" s="4" t="s">
        <v>62</v>
      </c>
      <c r="B16" s="17" t="n">
        <v>607</v>
      </c>
      <c r="C16" s="17" t="n">
        <v>527</v>
      </c>
      <c r="D16" s="17" t="n">
        <v>544</v>
      </c>
      <c r="E16" s="17" t="n">
        <v>736</v>
      </c>
      <c r="F16" s="17" t="n">
        <v>780</v>
      </c>
    </row>
    <row r="17" customFormat="false" ht="15" hidden="false" customHeight="false" outlineLevel="0" collapsed="false">
      <c r="A17" s="6" t="s">
        <v>63</v>
      </c>
      <c r="B17" s="18" t="n">
        <v>69</v>
      </c>
      <c r="C17" s="18" t="n">
        <v>64</v>
      </c>
      <c r="D17" s="18" t="n">
        <v>55</v>
      </c>
      <c r="E17" s="18" t="n">
        <v>55</v>
      </c>
      <c r="F17" s="18" t="n">
        <v>45</v>
      </c>
    </row>
    <row r="18" customFormat="false" ht="15" hidden="false" customHeight="false" outlineLevel="0" collapsed="false">
      <c r="A18" s="4" t="s">
        <v>64</v>
      </c>
      <c r="B18" s="17" t="n">
        <v>96</v>
      </c>
      <c r="C18" s="17" t="n">
        <v>116</v>
      </c>
      <c r="D18" s="17" t="n">
        <v>116</v>
      </c>
      <c r="E18" s="17" t="n">
        <v>156</v>
      </c>
      <c r="F18" s="17" t="n">
        <v>112</v>
      </c>
    </row>
    <row r="19" customFormat="false" ht="15" hidden="false" customHeight="false" outlineLevel="0" collapsed="false">
      <c r="A19" s="6" t="s">
        <v>65</v>
      </c>
      <c r="B19" s="18" t="n">
        <v>580</v>
      </c>
      <c r="C19" s="18" t="n">
        <v>475</v>
      </c>
      <c r="D19" s="18" t="n">
        <v>484</v>
      </c>
      <c r="E19" s="18" t="n">
        <v>634</v>
      </c>
      <c r="F19" s="18" t="n">
        <v>713</v>
      </c>
    </row>
    <row r="20" customFormat="false" ht="15" hidden="false" customHeight="false" outlineLevel="0" collapsed="false">
      <c r="A20" s="4" t="s">
        <v>66</v>
      </c>
      <c r="B20" s="19" t="n">
        <v>0.3</v>
      </c>
      <c r="C20" s="19" t="n">
        <v>0.31</v>
      </c>
      <c r="D20" s="19" t="n">
        <v>0.39</v>
      </c>
      <c r="E20" s="19" t="n">
        <v>0.34</v>
      </c>
      <c r="F20" s="19" t="n">
        <v>0.32</v>
      </c>
    </row>
    <row r="21" customFormat="false" ht="15" hidden="false" customHeight="false" outlineLevel="0" collapsed="false">
      <c r="A21" s="6" t="s">
        <v>67</v>
      </c>
      <c r="B21" s="20" t="n">
        <v>75.96</v>
      </c>
      <c r="C21" s="20" t="n">
        <v>87.14</v>
      </c>
      <c r="D21" s="20" t="n">
        <v>113.96</v>
      </c>
      <c r="E21" s="20" t="n">
        <v>125.07</v>
      </c>
      <c r="F21" s="20" t="n">
        <v>136.3</v>
      </c>
    </row>
    <row r="22" customFormat="false" ht="15" hidden="false" customHeight="false" outlineLevel="0" collapsed="false">
      <c r="A22" s="4" t="s">
        <v>68</v>
      </c>
      <c r="B22" s="21" t="n">
        <v>0.26</v>
      </c>
      <c r="C22" s="21" t="n">
        <v>0.32</v>
      </c>
      <c r="D22" s="21" t="n">
        <v>0.31</v>
      </c>
      <c r="E22" s="21" t="n">
        <v>0.32</v>
      </c>
      <c r="F22" s="21" t="n">
        <v>0.26</v>
      </c>
    </row>
    <row r="23" customFormat="false" ht="15" hidden="false" customHeight="false" outlineLevel="0" collapsed="false">
      <c r="A23" s="6" t="s">
        <v>69</v>
      </c>
      <c r="B23" s="15" t="n">
        <v>84000</v>
      </c>
      <c r="C23" s="15" t="n">
        <v>94000</v>
      </c>
      <c r="D23" s="15" t="n">
        <v>131000</v>
      </c>
      <c r="E23" s="15" t="n">
        <v>184000</v>
      </c>
      <c r="F23" s="15" t="n">
        <v>220000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2"/>
  </cols>
  <sheetData>
    <row r="1" customFormat="false" ht="18.55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3" t="s">
        <v>45</v>
      </c>
      <c r="B4" s="13" t="s">
        <v>72</v>
      </c>
      <c r="C4" s="13" t="s">
        <v>73</v>
      </c>
      <c r="D4" s="13" t="s">
        <v>74</v>
      </c>
      <c r="E4" s="13" t="s">
        <v>75</v>
      </c>
      <c r="F4" s="13" t="s">
        <v>76</v>
      </c>
    </row>
    <row r="5" customFormat="false" ht="15" hidden="false" customHeight="false" outlineLevel="0" collapsed="false">
      <c r="A5" s="6" t="s">
        <v>77</v>
      </c>
      <c r="B5" s="15" t="n">
        <v>7234</v>
      </c>
      <c r="C5" s="15" t="n">
        <v>6930</v>
      </c>
      <c r="D5" s="15" t="n">
        <v>4805</v>
      </c>
      <c r="E5" s="15" t="n">
        <v>6212</v>
      </c>
      <c r="F5" s="15" t="n">
        <v>7424</v>
      </c>
    </row>
    <row r="6" customFormat="false" ht="15" hidden="false" customHeight="false" outlineLevel="0" collapsed="false">
      <c r="A6" s="4" t="s">
        <v>78</v>
      </c>
      <c r="B6" s="16" t="n">
        <v>527</v>
      </c>
      <c r="C6" s="16" t="n">
        <v>572</v>
      </c>
      <c r="D6" s="16" t="n">
        <v>349</v>
      </c>
      <c r="E6" s="16" t="n">
        <v>519</v>
      </c>
      <c r="F6" s="16" t="n">
        <v>635</v>
      </c>
    </row>
    <row r="7" customFormat="false" ht="15" hidden="false" customHeight="false" outlineLevel="0" collapsed="false">
      <c r="A7" s="6" t="s">
        <v>79</v>
      </c>
      <c r="B7" s="15" t="n">
        <v>693</v>
      </c>
      <c r="C7" s="15" t="n">
        <v>830</v>
      </c>
      <c r="D7" s="15" t="n">
        <v>886</v>
      </c>
      <c r="E7" s="15" t="n">
        <v>1056</v>
      </c>
      <c r="F7" s="15" t="n">
        <v>1061</v>
      </c>
    </row>
    <row r="8" customFormat="false" ht="15" hidden="false" customHeight="false" outlineLevel="0" collapsed="false">
      <c r="A8" s="4" t="s">
        <v>80</v>
      </c>
      <c r="B8" s="16" t="n">
        <v>336</v>
      </c>
      <c r="C8" s="16" t="n">
        <v>386</v>
      </c>
      <c r="D8" s="16" t="n">
        <v>450</v>
      </c>
      <c r="E8" s="16" t="n">
        <v>507</v>
      </c>
      <c r="F8" s="16" t="n">
        <v>534</v>
      </c>
    </row>
    <row r="9" customFormat="false" ht="15" hidden="false" customHeight="false" outlineLevel="0" collapsed="false">
      <c r="A9" s="6" t="s">
        <v>81</v>
      </c>
      <c r="B9" s="15" t="n">
        <v>430</v>
      </c>
      <c r="C9" s="15" t="n">
        <v>572</v>
      </c>
      <c r="D9" s="15" t="n">
        <v>483</v>
      </c>
      <c r="E9" s="15" t="n">
        <v>437</v>
      </c>
      <c r="F9" s="15" t="n">
        <v>389</v>
      </c>
    </row>
    <row r="10" customFormat="false" ht="15" hidden="false" customHeight="false" outlineLevel="0" collapsed="false">
      <c r="A10" s="4" t="s">
        <v>82</v>
      </c>
      <c r="B10" s="16" t="n">
        <v>20760</v>
      </c>
      <c r="C10" s="16" t="n">
        <v>35000</v>
      </c>
      <c r="D10" s="16" t="n">
        <v>38508</v>
      </c>
      <c r="E10" s="16" t="n">
        <v>43224</v>
      </c>
      <c r="F10" s="16" t="n">
        <v>46600</v>
      </c>
    </row>
    <row r="11" customFormat="false" ht="15" hidden="false" customHeight="false" outlineLevel="0" collapsed="false">
      <c r="A11" s="6" t="s">
        <v>83</v>
      </c>
      <c r="B11" s="15" t="n">
        <v>12080</v>
      </c>
      <c r="C11" s="15" t="n">
        <v>20954</v>
      </c>
      <c r="D11" s="15" t="n">
        <v>5000</v>
      </c>
      <c r="E11" s="15" t="n">
        <v>10870</v>
      </c>
      <c r="F11" s="15" t="n">
        <v>10940</v>
      </c>
    </row>
    <row r="12" customFormat="false" ht="15" hidden="false" customHeight="false" outlineLevel="0" collapsed="false">
      <c r="A12" s="4" t="s">
        <v>84</v>
      </c>
      <c r="B12" s="16" t="n">
        <v>4870</v>
      </c>
      <c r="C12" s="16" t="n">
        <v>6500</v>
      </c>
      <c r="D12" s="16" t="n">
        <v>7294</v>
      </c>
      <c r="E12" s="16" t="n">
        <v>8434</v>
      </c>
      <c r="F12" s="16" t="n">
        <v>9400</v>
      </c>
    </row>
    <row r="13" customFormat="false" ht="15" hidden="false" customHeight="false" outlineLevel="0" collapsed="false">
      <c r="A13" s="6" t="s">
        <v>85</v>
      </c>
      <c r="B13" s="20" t="n">
        <v>8.34</v>
      </c>
      <c r="C13" s="20" t="n">
        <v>9.99</v>
      </c>
      <c r="D13" s="20" t="n">
        <v>10.95</v>
      </c>
      <c r="E13" s="20" t="n">
        <v>13.46</v>
      </c>
      <c r="F13" s="20" t="n">
        <v>13.6</v>
      </c>
    </row>
    <row r="14" customFormat="false" ht="15" hidden="false" customHeight="false" outlineLevel="0" collapsed="false">
      <c r="A14" s="4" t="s">
        <v>86</v>
      </c>
      <c r="B14" s="22" t="n">
        <v>2.49</v>
      </c>
      <c r="C14" s="22" t="n">
        <v>3.37</v>
      </c>
      <c r="D14" s="22" t="n">
        <v>3.37</v>
      </c>
      <c r="E14" s="22" t="n">
        <v>4.72</v>
      </c>
      <c r="F14" s="22" t="n">
        <v>4.78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2"/>
  </cols>
  <sheetData>
    <row r="1" customFormat="false" ht="18.5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4" customFormat="false" ht="15" hidden="false" customHeight="false" outlineLevel="0" collapsed="false">
      <c r="A4" s="3" t="s">
        <v>45</v>
      </c>
      <c r="B4" s="13" t="s">
        <v>72</v>
      </c>
      <c r="C4" s="13" t="s">
        <v>73</v>
      </c>
      <c r="D4" s="13" t="s">
        <v>74</v>
      </c>
      <c r="E4" s="13" t="s">
        <v>75</v>
      </c>
      <c r="F4" s="13" t="s">
        <v>76</v>
      </c>
    </row>
    <row r="5" customFormat="false" ht="15" hidden="false" customHeight="false" outlineLevel="0" collapsed="false">
      <c r="A5" s="6" t="s">
        <v>51</v>
      </c>
      <c r="B5" s="15" t="n">
        <v>67044</v>
      </c>
      <c r="C5" s="15" t="n">
        <v>65984</v>
      </c>
      <c r="D5" s="15" t="n">
        <v>67571</v>
      </c>
      <c r="E5" s="15" t="n">
        <v>71043</v>
      </c>
      <c r="F5" s="15" t="n">
        <v>75048</v>
      </c>
    </row>
    <row r="6" customFormat="false" ht="15" hidden="false" customHeight="false" outlineLevel="0" collapsed="false">
      <c r="A6" s="4" t="s">
        <v>89</v>
      </c>
      <c r="B6" s="16" t="n">
        <v>9061</v>
      </c>
      <c r="C6" s="16" t="n">
        <v>8287</v>
      </c>
      <c r="D6" s="16" t="n">
        <v>8479</v>
      </c>
      <c r="E6" s="16" t="n">
        <v>7619</v>
      </c>
      <c r="F6" s="16" t="n">
        <v>7374</v>
      </c>
    </row>
    <row r="7" customFormat="false" ht="15" hidden="false" customHeight="false" outlineLevel="0" collapsed="false">
      <c r="A7" s="6" t="s">
        <v>90</v>
      </c>
      <c r="B7" s="15" t="n">
        <v>9123</v>
      </c>
      <c r="C7" s="15" t="n">
        <v>8348</v>
      </c>
      <c r="D7" s="15" t="n">
        <v>8507</v>
      </c>
      <c r="E7" s="15" t="n">
        <v>7013</v>
      </c>
      <c r="F7" s="15" t="n">
        <v>7422</v>
      </c>
    </row>
    <row r="8" customFormat="false" ht="15" hidden="false" customHeight="false" outlineLevel="0" collapsed="false">
      <c r="A8" s="4" t="s">
        <v>91</v>
      </c>
      <c r="B8" s="16" t="n">
        <v>6315</v>
      </c>
      <c r="C8" s="16" t="n">
        <v>5732</v>
      </c>
      <c r="D8" s="16" t="n">
        <v>6920</v>
      </c>
      <c r="E8" s="16" t="n">
        <v>5336</v>
      </c>
      <c r="F8" s="16" t="n">
        <v>5017</v>
      </c>
    </row>
    <row r="9" customFormat="false" ht="15" hidden="false" customHeight="false" outlineLevel="0" collapsed="false">
      <c r="A9" s="6" t="s">
        <v>59</v>
      </c>
      <c r="B9" s="15" t="n">
        <v>6142</v>
      </c>
      <c r="C9" s="15" t="n">
        <v>9266</v>
      </c>
      <c r="D9" s="15" t="n">
        <v>6835</v>
      </c>
      <c r="E9" s="15" t="n">
        <v>6333</v>
      </c>
      <c r="F9" s="15" t="n">
        <v>6700</v>
      </c>
    </row>
    <row r="10" customFormat="false" ht="15" hidden="false" customHeight="false" outlineLevel="0" collapsed="false">
      <c r="A10" s="4" t="s">
        <v>61</v>
      </c>
      <c r="B10" s="16" t="n">
        <v>50873</v>
      </c>
      <c r="C10" s="16" t="n">
        <v>52880</v>
      </c>
      <c r="D10" s="16" t="n">
        <v>52456</v>
      </c>
      <c r="E10" s="16" t="n">
        <v>53815</v>
      </c>
      <c r="F10" s="16" t="n">
        <v>55000</v>
      </c>
    </row>
    <row r="11" customFormat="false" ht="15" hidden="false" customHeight="false" outlineLevel="0" collapsed="false">
      <c r="A11" s="6" t="s">
        <v>92</v>
      </c>
      <c r="B11" s="15" t="n">
        <v>8072</v>
      </c>
      <c r="C11" s="15" t="n">
        <v>12882</v>
      </c>
      <c r="D11" s="15" t="n">
        <v>16017</v>
      </c>
      <c r="E11" s="15" t="n">
        <v>17787</v>
      </c>
      <c r="F11" s="15" t="n">
        <v>17579</v>
      </c>
    </row>
    <row r="12" customFormat="false" ht="15" hidden="false" customHeight="false" outlineLevel="0" collapsed="false">
      <c r="A12" s="4" t="s">
        <v>93</v>
      </c>
      <c r="B12" s="16" t="n">
        <v>1522</v>
      </c>
      <c r="C12" s="16" t="n">
        <v>1670</v>
      </c>
      <c r="D12" s="16" t="n">
        <v>1691</v>
      </c>
      <c r="E12" s="16" t="n">
        <v>1685</v>
      </c>
      <c r="F12" s="16" t="n">
        <v>1649</v>
      </c>
    </row>
    <row r="13" customFormat="false" ht="15" hidden="false" customHeight="false" outlineLevel="0" collapsed="false">
      <c r="A13" s="6" t="s">
        <v>94</v>
      </c>
      <c r="B13" s="15" t="n">
        <v>7699</v>
      </c>
      <c r="C13" s="15" t="n">
        <v>6132</v>
      </c>
      <c r="D13" s="15" t="n">
        <v>6229</v>
      </c>
      <c r="E13" s="15" t="n">
        <v>5287</v>
      </c>
      <c r="F13" s="15" t="n">
        <v>6908</v>
      </c>
    </row>
    <row r="14" customFormat="false" ht="15" hidden="false" customHeight="false" outlineLevel="0" collapsed="false">
      <c r="A14" s="4" t="s">
        <v>82</v>
      </c>
      <c r="B14" s="16" t="n">
        <v>135900</v>
      </c>
      <c r="C14" s="16" t="n">
        <v>150000</v>
      </c>
      <c r="D14" s="16" t="n">
        <v>160600</v>
      </c>
      <c r="E14" s="16" t="n">
        <v>176000</v>
      </c>
      <c r="F14" s="16" t="n">
        <v>194000</v>
      </c>
    </row>
    <row r="15" customFormat="false" ht="15" hidden="false" customHeight="false" outlineLevel="0" collapsed="false">
      <c r="A15" s="6" t="s">
        <v>95</v>
      </c>
      <c r="B15" s="20" t="n">
        <v>22.76</v>
      </c>
      <c r="C15" s="20" t="n">
        <v>21.66</v>
      </c>
      <c r="D15" s="20" t="n">
        <v>27.55</v>
      </c>
      <c r="E15" s="20" t="n">
        <v>22.31</v>
      </c>
      <c r="F15" s="20" t="n">
        <v>21.49</v>
      </c>
    </row>
    <row r="16" customFormat="false" ht="15" hidden="false" customHeight="false" outlineLevel="0" collapsed="false">
      <c r="A16" s="4" t="s">
        <v>96</v>
      </c>
      <c r="B16" s="19" t="n">
        <v>0.1564</v>
      </c>
      <c r="C16" s="19" t="n">
        <v>0.1478</v>
      </c>
      <c r="D16" s="19" t="n">
        <v>0.1471</v>
      </c>
      <c r="E16" s="19" t="n">
        <v>0.1207</v>
      </c>
      <c r="F16" s="19" t="n">
        <v>0.1255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2"/>
  </cols>
  <sheetData>
    <row r="1" customFormat="false" ht="18.55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15" hidden="false" customHeight="false" outlineLevel="0" collapsed="false">
      <c r="A4" s="23" t="s">
        <v>99</v>
      </c>
    </row>
    <row r="5" customFormat="false" ht="15" hidden="false" customHeight="false" outlineLevel="0" collapsed="false">
      <c r="A5" s="3" t="s">
        <v>100</v>
      </c>
      <c r="B5" s="13" t="s">
        <v>46</v>
      </c>
      <c r="C5" s="13" t="s">
        <v>47</v>
      </c>
      <c r="D5" s="13" t="s">
        <v>48</v>
      </c>
      <c r="E5" s="13" t="s">
        <v>49</v>
      </c>
      <c r="F5" s="13" t="s">
        <v>50</v>
      </c>
    </row>
    <row r="6" customFormat="false" ht="15" hidden="false" customHeight="false" outlineLevel="0" collapsed="false">
      <c r="A6" s="4" t="s">
        <v>101</v>
      </c>
      <c r="B6" s="24" t="n">
        <f aca="false">HAL_Data!B11/HAL_Data!B5</f>
        <v>0.206336311941511</v>
      </c>
      <c r="C6" s="24" t="n">
        <f aca="false">HAL_Data!C11/HAL_Data!C5</f>
        <v>0.216437033460839</v>
      </c>
      <c r="D6" s="24" t="n">
        <f aca="false">HAL_Data!D11/HAL_Data!D5</f>
        <v>0.250847569204437</v>
      </c>
      <c r="E6" s="24" t="n">
        <f aca="false">HAL_Data!E11/HAL_Data!E5</f>
        <v>0.26997191827249</v>
      </c>
      <c r="F6" s="24" t="n">
        <f aca="false">HAL_Data!F11/HAL_Data!F5</f>
        <v>0.275499410680287</v>
      </c>
    </row>
    <row r="7" customFormat="false" ht="15" hidden="false" customHeight="false" outlineLevel="0" collapsed="false">
      <c r="A7" s="6" t="s">
        <v>96</v>
      </c>
      <c r="B7" s="25" t="n">
        <f aca="false">HAL_Data!B6/HAL_Data!B5</f>
        <v>0.219943135662063</v>
      </c>
      <c r="C7" s="25" t="n">
        <f aca="false">HAL_Data!C6/HAL_Data!C5</f>
        <v>0.248300961859843</v>
      </c>
      <c r="D7" s="25" t="n">
        <f aca="false">HAL_Data!D6/HAL_Data!D5</f>
        <v>0.320990092492018</v>
      </c>
      <c r="E7" s="25" t="n">
        <f aca="false">HAL_Data!E6/HAL_Data!E5</f>
        <v>0.310545172847875</v>
      </c>
      <c r="F7" s="25" t="n">
        <f aca="false">HAL_Data!F6/HAL_Data!F5</f>
        <v>0.295264287225362</v>
      </c>
    </row>
    <row r="8" customFormat="false" ht="15" hidden="false" customHeight="false" outlineLevel="0" collapsed="false">
      <c r="A8" s="4" t="s">
        <v>102</v>
      </c>
      <c r="B8" s="24" t="n">
        <f aca="false">HAL_Data!B11/HAL_Data!B13</f>
        <v>0.26303526122301</v>
      </c>
      <c r="C8" s="24" t="n">
        <f aca="false">HAL_Data!C11/HAL_Data!C13</f>
        <v>0.247242491091125</v>
      </c>
      <c r="D8" s="24" t="n">
        <f aca="false">HAL_Data!D11/HAL_Data!D13</f>
        <v>0.261548493376347</v>
      </c>
      <c r="E8" s="24" t="n">
        <f aca="false">HAL_Data!E11/HAL_Data!E13</f>
        <v>0.239101226380035</v>
      </c>
      <c r="F8" s="24" t="n">
        <f aca="false">HAL_Data!F11/HAL_Data!F13</f>
        <v>0.222119344070564</v>
      </c>
    </row>
    <row r="9" customFormat="false" ht="15" hidden="false" customHeight="false" outlineLevel="0" collapsed="false">
      <c r="A9" s="6" t="s">
        <v>103</v>
      </c>
      <c r="B9" s="25" t="n">
        <f aca="false">HAL_Data!B11/HAL_Data!B15</f>
        <v>0.0843097553689382</v>
      </c>
      <c r="C9" s="25" t="n">
        <f aca="false">HAL_Data!C11/HAL_Data!C15</f>
        <v>0.0841272590796235</v>
      </c>
      <c r="D9" s="25" t="n">
        <f aca="false">HAL_Data!D11/HAL_Data!D15</f>
        <v>0.0941899123728541</v>
      </c>
      <c r="E9" s="25" t="n">
        <f aca="false">HAL_Data!E11/HAL_Data!E15</f>
        <v>0.0769471379418205</v>
      </c>
      <c r="F9" s="25" t="n">
        <f aca="false">HAL_Data!F11/HAL_Data!F15</f>
        <v>0.0688441641807952</v>
      </c>
    </row>
    <row r="10" customFormat="false" ht="15" hidden="false" customHeight="false" outlineLevel="0" collapsed="false">
      <c r="A10" s="4" t="s">
        <v>104</v>
      </c>
      <c r="B10" s="26" t="n">
        <f aca="false">(HAL_Data!B14-HAL_Data!B11)/HAL_Data!B6</f>
        <v>-0.929085872576177</v>
      </c>
      <c r="C10" s="26" t="n">
        <f aca="false">(HAL_Data!C14-HAL_Data!C11)/HAL_Data!C6</f>
        <v>-0.863894705354472</v>
      </c>
      <c r="D10" s="26" t="n">
        <f aca="false">(HAL_Data!D14-HAL_Data!D11)/HAL_Data!D6</f>
        <v>-0.77635356849877</v>
      </c>
      <c r="E10" s="26" t="n">
        <f aca="false">(HAL_Data!E14-HAL_Data!E11)/HAL_Data!E6</f>
        <v>-0.864047396320549</v>
      </c>
      <c r="F10" s="26" t="n">
        <f aca="false">(HAL_Data!F14-HAL_Data!F11)/HAL_Data!F6</f>
        <v>-0.931934493346981</v>
      </c>
    </row>
    <row r="12" customFormat="false" ht="15" hidden="false" customHeight="false" outlineLevel="0" collapsed="false">
      <c r="A12" s="23" t="s">
        <v>105</v>
      </c>
    </row>
    <row r="13" customFormat="false" ht="15" hidden="false" customHeight="false" outlineLevel="0" collapsed="false">
      <c r="A13" s="3" t="s">
        <v>100</v>
      </c>
      <c r="B13" s="13" t="s">
        <v>72</v>
      </c>
      <c r="C13" s="13" t="s">
        <v>73</v>
      </c>
      <c r="D13" s="13" t="s">
        <v>74</v>
      </c>
      <c r="E13" s="13" t="s">
        <v>75</v>
      </c>
      <c r="F13" s="13" t="s">
        <v>76</v>
      </c>
    </row>
    <row r="14" customFormat="false" ht="15" hidden="false" customHeight="false" outlineLevel="0" collapsed="false">
      <c r="A14" s="4" t="s">
        <v>106</v>
      </c>
      <c r="B14" s="24" t="n">
        <f aca="false">Dassault_Data!B7/Dassault_Data!B5</f>
        <v>0.0957976223389549</v>
      </c>
      <c r="C14" s="24" t="n">
        <f aca="false">Dassault_Data!C7/Dassault_Data!C5</f>
        <v>0.11976911976912</v>
      </c>
      <c r="D14" s="24" t="n">
        <f aca="false">Dassault_Data!D7/Dassault_Data!D5</f>
        <v>0.184391259105099</v>
      </c>
      <c r="E14" s="24" t="n">
        <f aca="false">Dassault_Data!E7/Dassault_Data!E5</f>
        <v>0.169993560849968</v>
      </c>
      <c r="F14" s="24" t="n">
        <f aca="false">Dassault_Data!F7/Dassault_Data!F5</f>
        <v>0.142914870689655</v>
      </c>
    </row>
    <row r="15" customFormat="false" ht="15" hidden="false" customHeight="false" outlineLevel="0" collapsed="false">
      <c r="A15" s="6" t="s">
        <v>107</v>
      </c>
      <c r="B15" s="25" t="n">
        <f aca="false">(Dassault_Data!B7-Dassault_Data!B8)/Dassault_Data!B5</f>
        <v>0.0493502902958253</v>
      </c>
      <c r="C15" s="25" t="n">
        <f aca="false">(Dassault_Data!C7-Dassault_Data!C8)/Dassault_Data!C5</f>
        <v>0.0640692640692641</v>
      </c>
      <c r="D15" s="25" t="n">
        <f aca="false">(Dassault_Data!D7-Dassault_Data!D8)/Dassault_Data!D5</f>
        <v>0.090738813735692</v>
      </c>
      <c r="E15" s="25" t="n">
        <f aca="false">(Dassault_Data!E7-Dassault_Data!E8)/Dassault_Data!E5</f>
        <v>0.0883773341918867</v>
      </c>
      <c r="F15" s="25" t="n">
        <f aca="false">(Dassault_Data!F7-Dassault_Data!F8)/Dassault_Data!F5</f>
        <v>0.0709859913793104</v>
      </c>
    </row>
    <row r="16" customFormat="false" ht="15" hidden="false" customHeight="false" outlineLevel="0" collapsed="false">
      <c r="A16" s="4" t="s">
        <v>108</v>
      </c>
      <c r="B16" s="24" t="n">
        <f aca="false">Dassault_Data!B6/Dassault_Data!B5</f>
        <v>0.0728504285319325</v>
      </c>
      <c r="C16" s="24" t="n">
        <f aca="false">Dassault_Data!C6/Dassault_Data!C5</f>
        <v>0.0825396825396825</v>
      </c>
      <c r="D16" s="24" t="n">
        <f aca="false">Dassault_Data!D6/Dassault_Data!D5</f>
        <v>0.0726326742976067</v>
      </c>
      <c r="E16" s="24" t="n">
        <f aca="false">Dassault_Data!E6/Dassault_Data!E5</f>
        <v>0.0835479716677399</v>
      </c>
      <c r="F16" s="24" t="n">
        <f aca="false">Dassault_Data!F6/Dassault_Data!F5</f>
        <v>0.0855334051724138</v>
      </c>
    </row>
    <row r="17" customFormat="false" ht="15" hidden="false" customHeight="false" outlineLevel="0" collapsed="false">
      <c r="A17" s="6" t="s">
        <v>109</v>
      </c>
      <c r="B17" s="25" t="n">
        <f aca="false">Dassault_Data!B9/Dassault_Data!B5</f>
        <v>0.0594415261266243</v>
      </c>
      <c r="C17" s="25" t="n">
        <f aca="false">Dassault_Data!C9/Dassault_Data!C5</f>
        <v>0.0825396825396825</v>
      </c>
      <c r="D17" s="25" t="n">
        <f aca="false">Dassault_Data!D9/Dassault_Data!D5</f>
        <v>0.100520291363163</v>
      </c>
      <c r="E17" s="25" t="n">
        <f aca="false">Dassault_Data!E9/Dassault_Data!E5</f>
        <v>0.0703477141017386</v>
      </c>
      <c r="F17" s="25" t="n">
        <f aca="false">Dassault_Data!F9/Dassault_Data!F5</f>
        <v>0.0523976293103448</v>
      </c>
    </row>
    <row r="19" customFormat="false" ht="15" hidden="false" customHeight="false" outlineLevel="0" collapsed="false">
      <c r="A19" s="23" t="s">
        <v>110</v>
      </c>
    </row>
    <row r="20" customFormat="false" ht="15" hidden="false" customHeight="false" outlineLevel="0" collapsed="false">
      <c r="A20" s="3" t="s">
        <v>100</v>
      </c>
      <c r="B20" s="13" t="s">
        <v>72</v>
      </c>
      <c r="C20" s="13" t="s">
        <v>73</v>
      </c>
      <c r="D20" s="13" t="s">
        <v>74</v>
      </c>
      <c r="E20" s="13" t="s">
        <v>75</v>
      </c>
      <c r="F20" s="13" t="s">
        <v>76</v>
      </c>
    </row>
    <row r="21" customFormat="false" ht="15" hidden="false" customHeight="false" outlineLevel="0" collapsed="false">
      <c r="A21" s="6" t="s">
        <v>101</v>
      </c>
      <c r="B21" s="25" t="n">
        <f aca="false">Lockheed_Data!B8/Lockheed_Data!B5</f>
        <v>0.0941918739931985</v>
      </c>
      <c r="C21" s="25" t="n">
        <f aca="false">Lockheed_Data!C8/Lockheed_Data!C5</f>
        <v>0.0868695441319108</v>
      </c>
      <c r="D21" s="25" t="n">
        <f aca="false">Lockheed_Data!D8/Lockheed_Data!D5</f>
        <v>0.102410797531485</v>
      </c>
      <c r="E21" s="25" t="n">
        <f aca="false">Lockheed_Data!E8/Lockheed_Data!E5</f>
        <v>0.0751094407612291</v>
      </c>
      <c r="F21" s="25" t="n">
        <f aca="false">Lockheed_Data!F8/Lockheed_Data!F5</f>
        <v>0.0668505489819849</v>
      </c>
    </row>
    <row r="22" customFormat="false" ht="15" hidden="false" customHeight="false" outlineLevel="0" collapsed="false">
      <c r="A22" s="4" t="s">
        <v>111</v>
      </c>
      <c r="B22" s="24" t="n">
        <f aca="false">Lockheed_Data!B6/Lockheed_Data!B5</f>
        <v>0.135150050712965</v>
      </c>
      <c r="C22" s="24" t="n">
        <f aca="false">Lockheed_Data!C6/Lockheed_Data!C5</f>
        <v>0.125591052376334</v>
      </c>
      <c r="D22" s="24" t="n">
        <f aca="false">Lockheed_Data!D6/Lockheed_Data!D5</f>
        <v>0.125482825472466</v>
      </c>
      <c r="E22" s="24" t="n">
        <f aca="false">Lockheed_Data!E6/Lockheed_Data!E5</f>
        <v>0.107244908013457</v>
      </c>
      <c r="F22" s="24" t="n">
        <f aca="false">Lockheed_Data!F6/Lockheed_Data!F5</f>
        <v>0.0982571154461145</v>
      </c>
    </row>
    <row r="23" customFormat="false" ht="15" hidden="false" customHeight="false" outlineLevel="0" collapsed="false">
      <c r="A23" s="6" t="s">
        <v>112</v>
      </c>
      <c r="B23" s="25" t="n">
        <f aca="false">Lockheed_Data!B7/Lockheed_Data!B5</f>
        <v>0.136074816538393</v>
      </c>
      <c r="C23" s="25" t="n">
        <f aca="false">Lockheed_Data!C7/Lockheed_Data!C5</f>
        <v>0.126515518913676</v>
      </c>
      <c r="D23" s="25" t="n">
        <f aca="false">Lockheed_Data!D7/Lockheed_Data!D5</f>
        <v>0.125897204422015</v>
      </c>
      <c r="E23" s="25" t="n">
        <f aca="false">Lockheed_Data!E7/Lockheed_Data!E5</f>
        <v>0.0987148628295539</v>
      </c>
      <c r="F23" s="25" t="n">
        <f aca="false">Lockheed_Data!F7/Lockheed_Data!F5</f>
        <v>0.0988967061080908</v>
      </c>
    </row>
    <row r="24" customFormat="false" ht="15" hidden="false" customHeight="false" outlineLevel="0" collapsed="false">
      <c r="A24" s="4" t="s">
        <v>103</v>
      </c>
      <c r="B24" s="24" t="n">
        <f aca="false">Lockheed_Data!B8/Lockheed_Data!B10</f>
        <v>0.124132644035146</v>
      </c>
      <c r="C24" s="24" t="n">
        <f aca="false">Lockheed_Data!C8/Lockheed_Data!C10</f>
        <v>0.10839636913767</v>
      </c>
      <c r="D24" s="24" t="n">
        <f aca="false">Lockheed_Data!D8/Lockheed_Data!D10</f>
        <v>0.131920085404911</v>
      </c>
      <c r="E24" s="24" t="n">
        <f aca="false">Lockheed_Data!E8/Lockheed_Data!E10</f>
        <v>0.0991545108241197</v>
      </c>
      <c r="F24" s="24" t="n">
        <f aca="false">Lockheed_Data!F8/Lockheed_Data!F10</f>
        <v>0.0912181818181818</v>
      </c>
    </row>
    <row r="25" customFormat="false" ht="15" hidden="false" customHeight="false" outlineLevel="0" collapsed="false">
      <c r="A25" s="6" t="s">
        <v>104</v>
      </c>
      <c r="B25" s="27" t="n">
        <f aca="false">Lockheed_Data!B11/(Lockheed_Data!B5*Lockheed_Data!B16)</f>
        <v>0.769811663936086</v>
      </c>
      <c r="C25" s="27" t="n">
        <f aca="false">Lockheed_Data!C11/(Lockheed_Data!C5*Lockheed_Data!C16)</f>
        <v>1.32090085561399</v>
      </c>
      <c r="D25" s="27" t="n">
        <f aca="false">Lockheed_Data!D11/(Lockheed_Data!D5*Lockheed_Data!D16)</f>
        <v>1.61141780007093</v>
      </c>
      <c r="E25" s="27" t="n">
        <f aca="false">Lockheed_Data!E11/(Lockheed_Data!E5*Lockheed_Data!E16)</f>
        <v>2.07431229934947</v>
      </c>
      <c r="F25" s="27" t="n">
        <f aca="false">Lockheed_Data!F11/(Lockheed_Data!F5*Lockheed_Data!F16)</f>
        <v>1.86642832783566</v>
      </c>
    </row>
    <row r="27" customFormat="false" ht="15" hidden="false" customHeight="false" outlineLevel="0" collapsed="false">
      <c r="A27" s="23" t="s">
        <v>113</v>
      </c>
    </row>
    <row r="28" customFormat="false" ht="15" hidden="false" customHeight="false" outlineLevel="0" collapsed="false">
      <c r="A28" s="3" t="s">
        <v>114</v>
      </c>
      <c r="B28" s="13" t="s">
        <v>99</v>
      </c>
      <c r="C28" s="13" t="s">
        <v>115</v>
      </c>
      <c r="D28" s="13" t="s">
        <v>116</v>
      </c>
    </row>
    <row r="29" customFormat="false" ht="15" hidden="false" customHeight="false" outlineLevel="0" collapsed="false">
      <c r="A29" s="6" t="s">
        <v>117</v>
      </c>
      <c r="B29" s="25" t="n">
        <f aca="false">POWER(HAL_Data!F5/HAL_Data!B5,1/4)-1</f>
        <v>0.0767103764103108</v>
      </c>
      <c r="C29" s="25" t="n">
        <f aca="false">POWER(Dassault_Data!F5/Dassault_Data!B5,1/4)-1</f>
        <v>0.00650251563997317</v>
      </c>
      <c r="D29" s="25" t="n">
        <f aca="false">POWER(Lockheed_Data!F5/Lockheed_Data!B5,1/4)-1</f>
        <v>0.0285959296125704</v>
      </c>
    </row>
    <row r="30" customFormat="false" ht="15" hidden="false" customHeight="false" outlineLevel="0" collapsed="false">
      <c r="A30" s="4" t="s">
        <v>101</v>
      </c>
      <c r="B30" s="24" t="n">
        <f aca="false">HAL_Data!F11/HAL_Data!F5</f>
        <v>0.275499410680287</v>
      </c>
      <c r="C30" s="24" t="n">
        <f aca="false">Dassault_Data!F7/Dassault_Data!F5</f>
        <v>0.142914870689655</v>
      </c>
      <c r="D30" s="24" t="n">
        <f aca="false">Lockheed_Data!F8/Lockheed_Data!F5</f>
        <v>0.0668505489819849</v>
      </c>
    </row>
    <row r="31" customFormat="false" ht="15" hidden="false" customHeight="false" outlineLevel="0" collapsed="false">
      <c r="A31" s="6" t="s">
        <v>118</v>
      </c>
      <c r="B31" s="25" t="n">
        <f aca="false">HAL_Data!F11/HAL_Data!F15</f>
        <v>0.0688441641807952</v>
      </c>
      <c r="C31" s="25" t="n">
        <f aca="false">0.09</f>
        <v>0.09</v>
      </c>
      <c r="D31" s="25" t="n">
        <f aca="false">Lockheed_Data!F8/Lockheed_Data!F10</f>
        <v>0.0912181818181818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6"/>
    <col collapsed="false" customWidth="true" hidden="false" outlineLevel="0" max="8" min="7" style="0" width="16"/>
  </cols>
  <sheetData>
    <row r="1" customFormat="false" ht="18.5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4" customFormat="false" ht="15" hidden="false" customHeight="false" outlineLevel="0" collapsed="false">
      <c r="A4" s="3" t="s">
        <v>121</v>
      </c>
      <c r="B4" s="13" t="s">
        <v>101</v>
      </c>
      <c r="C4" s="13" t="s">
        <v>122</v>
      </c>
      <c r="D4" s="13" t="s">
        <v>123</v>
      </c>
      <c r="E4" s="13" t="s">
        <v>124</v>
      </c>
      <c r="G4" s="2" t="s">
        <v>125</v>
      </c>
      <c r="H4" s="2" t="s">
        <v>126</v>
      </c>
    </row>
    <row r="5" customFormat="false" ht="15" hidden="false" customHeight="false" outlineLevel="0" collapsed="false">
      <c r="A5" s="6" t="s">
        <v>99</v>
      </c>
      <c r="B5" s="25" t="n">
        <f aca="false">HAL_Data!F11/HAL_Data!F5</f>
        <v>0.275499410680287</v>
      </c>
      <c r="C5" s="28" t="n">
        <f aca="false">HAL_Data!F5/HAL_Data!F15</f>
        <v>0.249888607786127</v>
      </c>
      <c r="D5" s="28" t="n">
        <f aca="false">HAL_Data!F15/HAL_Data!F13</f>
        <v>3.22640773860286</v>
      </c>
      <c r="E5" s="29" t="n">
        <f aca="false">B5*C5*D5</f>
        <v>0.222119344070564</v>
      </c>
      <c r="G5" s="2" t="s">
        <v>127</v>
      </c>
    </row>
    <row r="6" customFormat="false" ht="15" hidden="false" customHeight="false" outlineLevel="0" collapsed="false">
      <c r="A6" s="4" t="s">
        <v>128</v>
      </c>
      <c r="B6" s="24" t="n">
        <f aca="false">Dassault_Data!F7/Dassault_Data!F5</f>
        <v>0.142914870689655</v>
      </c>
      <c r="C6" s="30" t="n">
        <f aca="false">Dassault_Data!F5/G6</f>
        <v>0.35352380952381</v>
      </c>
      <c r="D6" s="30" t="n">
        <f aca="false">G6/H6</f>
        <v>4.77272727272727</v>
      </c>
      <c r="E6" s="31" t="n">
        <f aca="false">B6*C6*D6</f>
        <v>0.241136363636364</v>
      </c>
      <c r="G6" s="32" t="n">
        <v>21000</v>
      </c>
      <c r="H6" s="32" t="n">
        <v>4400</v>
      </c>
    </row>
    <row r="7" customFormat="false" ht="15" hidden="false" customHeight="false" outlineLevel="0" collapsed="false">
      <c r="A7" s="6" t="s">
        <v>110</v>
      </c>
      <c r="B7" s="25" t="n">
        <f aca="false">Lockheed_Data!F8/Lockheed_Data!F5</f>
        <v>0.0668505489819849</v>
      </c>
      <c r="C7" s="28" t="n">
        <f aca="false">Lockheed_Data!F5/Lockheed_Data!F10</f>
        <v>1.36450909090909</v>
      </c>
      <c r="D7" s="28" t="n">
        <f aca="false">Lockheed_Data!F10/Lockheed_Data!F9</f>
        <v>8.2089552238806</v>
      </c>
      <c r="E7" s="29" t="n">
        <f aca="false">B7*C7*D7</f>
        <v>0.748805970149254</v>
      </c>
    </row>
    <row r="9" customFormat="false" ht="15" hidden="false" customHeight="false" outlineLevel="0" collapsed="false">
      <c r="A9" s="2" t="s">
        <v>129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44"/>
  </cols>
  <sheetData>
    <row r="1" customFormat="false" ht="18.5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2" t="s">
        <v>131</v>
      </c>
    </row>
    <row r="4" customFormat="false" ht="15" hidden="false" customHeight="false" outlineLevel="0" collapsed="false">
      <c r="A4" s="3" t="s">
        <v>132</v>
      </c>
      <c r="B4" s="13" t="s">
        <v>133</v>
      </c>
      <c r="C4" s="13" t="s">
        <v>134</v>
      </c>
      <c r="D4" s="13" t="s">
        <v>135</v>
      </c>
    </row>
    <row r="5" customFormat="false" ht="15" hidden="false" customHeight="false" outlineLevel="0" collapsed="false">
      <c r="A5" s="6" t="s">
        <v>136</v>
      </c>
      <c r="B5" s="33" t="s">
        <v>137</v>
      </c>
      <c r="C5" s="34" t="s">
        <v>138</v>
      </c>
      <c r="D5" s="7" t="s">
        <v>139</v>
      </c>
    </row>
    <row r="6" customFormat="false" ht="15" hidden="false" customHeight="false" outlineLevel="0" collapsed="false">
      <c r="A6" s="4" t="s">
        <v>140</v>
      </c>
      <c r="B6" s="33" t="s">
        <v>137</v>
      </c>
      <c r="C6" s="34" t="s">
        <v>138</v>
      </c>
      <c r="D6" s="5" t="s">
        <v>141</v>
      </c>
    </row>
    <row r="7" customFormat="false" ht="15" hidden="false" customHeight="false" outlineLevel="0" collapsed="false">
      <c r="A7" s="6" t="s">
        <v>142</v>
      </c>
      <c r="B7" s="33" t="s">
        <v>137</v>
      </c>
      <c r="C7" s="33" t="s">
        <v>137</v>
      </c>
      <c r="D7" s="7" t="s">
        <v>143</v>
      </c>
    </row>
    <row r="8" customFormat="false" ht="15" hidden="false" customHeight="false" outlineLevel="0" collapsed="false">
      <c r="A8" s="4" t="s">
        <v>144</v>
      </c>
      <c r="B8" s="33" t="s">
        <v>137</v>
      </c>
      <c r="C8" s="34" t="s">
        <v>138</v>
      </c>
      <c r="D8" s="5" t="s">
        <v>145</v>
      </c>
    </row>
    <row r="9" customFormat="false" ht="15" hidden="false" customHeight="false" outlineLevel="0" collapsed="false">
      <c r="A9" s="6" t="s">
        <v>146</v>
      </c>
      <c r="B9" s="35" t="s">
        <v>147</v>
      </c>
      <c r="C9" s="36" t="s">
        <v>148</v>
      </c>
      <c r="D9" s="7" t="s">
        <v>149</v>
      </c>
    </row>
    <row r="10" customFormat="false" ht="15" hidden="false" customHeight="false" outlineLevel="0" collapsed="false">
      <c r="A10" s="4" t="s">
        <v>150</v>
      </c>
      <c r="B10" s="33" t="s">
        <v>137</v>
      </c>
      <c r="C10" s="34" t="s">
        <v>138</v>
      </c>
      <c r="D10" s="5" t="s">
        <v>151</v>
      </c>
    </row>
    <row r="11" customFormat="false" ht="15" hidden="false" customHeight="false" outlineLevel="0" collapsed="false">
      <c r="A11" s="6" t="s">
        <v>152</v>
      </c>
      <c r="B11" s="34" t="s">
        <v>138</v>
      </c>
      <c r="C11" s="33" t="s">
        <v>137</v>
      </c>
      <c r="D11" s="7" t="s">
        <v>153</v>
      </c>
    </row>
    <row r="12" customFormat="false" ht="15" hidden="false" customHeight="false" outlineLevel="0" collapsed="false">
      <c r="A12" s="4" t="s">
        <v>154</v>
      </c>
      <c r="B12" s="36" t="s">
        <v>148</v>
      </c>
      <c r="C12" s="35" t="s">
        <v>147</v>
      </c>
      <c r="D12" s="5" t="s">
        <v>155</v>
      </c>
    </row>
    <row r="13" customFormat="false" ht="15" hidden="false" customHeight="false" outlineLevel="0" collapsed="false">
      <c r="A13" s="6" t="s">
        <v>156</v>
      </c>
      <c r="B13" s="36" t="s">
        <v>148</v>
      </c>
      <c r="C13" s="35" t="s">
        <v>147</v>
      </c>
      <c r="D13" s="7" t="s">
        <v>157</v>
      </c>
    </row>
    <row r="14" customFormat="false" ht="15" hidden="false" customHeight="false" outlineLevel="0" collapsed="false">
      <c r="A14" s="4" t="s">
        <v>158</v>
      </c>
      <c r="B14" s="35" t="s">
        <v>147</v>
      </c>
      <c r="C14" s="34" t="s">
        <v>138</v>
      </c>
      <c r="D14" s="5" t="s">
        <v>159</v>
      </c>
    </row>
    <row r="15" customFormat="false" ht="15" hidden="false" customHeight="false" outlineLevel="0" collapsed="false">
      <c r="A15" s="6" t="s">
        <v>160</v>
      </c>
      <c r="B15" s="34" t="s">
        <v>138</v>
      </c>
      <c r="C15" s="33" t="s">
        <v>137</v>
      </c>
      <c r="D15" s="7" t="s">
        <v>161</v>
      </c>
    </row>
    <row r="16" customFormat="false" ht="15" hidden="false" customHeight="false" outlineLevel="0" collapsed="false">
      <c r="A16" s="4" t="s">
        <v>162</v>
      </c>
      <c r="B16" s="33" t="s">
        <v>137</v>
      </c>
      <c r="C16" s="33" t="s">
        <v>137</v>
      </c>
      <c r="D16" s="5" t="s">
        <v>163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</cols>
  <sheetData>
    <row r="1" customFormat="false" ht="18.55" hidden="false" customHeight="false" outlineLevel="0" collapsed="false">
      <c r="A1" s="1" t="s">
        <v>164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8" t="s">
        <v>166</v>
      </c>
      <c r="D4" s="37" t="s">
        <v>167</v>
      </c>
    </row>
    <row r="5" customFormat="false" ht="15" hidden="false" customHeight="false" outlineLevel="0" collapsed="false">
      <c r="A5" s="8" t="s">
        <v>168</v>
      </c>
      <c r="D5" s="37" t="s">
        <v>115</v>
      </c>
    </row>
    <row r="7" customFormat="false" ht="15" hidden="false" customHeight="false" outlineLevel="0" collapsed="false">
      <c r="A7" s="8" t="s">
        <v>169</v>
      </c>
    </row>
    <row r="8" customFormat="false" ht="15" hidden="false" customHeight="false" outlineLevel="0" collapsed="false">
      <c r="A8" s="3" t="s">
        <v>170</v>
      </c>
      <c r="B8" s="13" t="s">
        <v>171</v>
      </c>
    </row>
    <row r="9" customFormat="false" ht="15" hidden="false" customHeight="false" outlineLevel="0" collapsed="false">
      <c r="A9" s="6" t="s">
        <v>172</v>
      </c>
      <c r="B9" s="38" t="n">
        <v>0.05</v>
      </c>
    </row>
    <row r="10" customFormat="false" ht="15" hidden="false" customHeight="false" outlineLevel="0" collapsed="false">
      <c r="A10" s="4" t="s">
        <v>167</v>
      </c>
      <c r="B10" s="38" t="n">
        <v>0.1</v>
      </c>
    </row>
    <row r="11" customFormat="false" ht="15" hidden="false" customHeight="false" outlineLevel="0" collapsed="false">
      <c r="A11" s="6" t="s">
        <v>173</v>
      </c>
      <c r="B11" s="38" t="n">
        <v>0.15</v>
      </c>
    </row>
    <row r="13" customFormat="false" ht="15" hidden="false" customHeight="false" outlineLevel="0" collapsed="false">
      <c r="A13" s="23" t="s">
        <v>174</v>
      </c>
    </row>
    <row r="14" customFormat="false" ht="15" hidden="false" customHeight="false" outlineLevel="0" collapsed="false">
      <c r="A14" s="4" t="s">
        <v>175</v>
      </c>
      <c r="D14" s="39" t="n">
        <f aca="false">HAL_Data!F16</f>
        <v>780</v>
      </c>
    </row>
    <row r="15" customFormat="false" ht="15" hidden="false" customHeight="false" outlineLevel="0" collapsed="false">
      <c r="A15" s="6" t="s">
        <v>176</v>
      </c>
      <c r="D15" s="40" t="n">
        <f aca="false">HAL_Data!F12</f>
        <v>23319</v>
      </c>
    </row>
    <row r="16" customFormat="false" ht="15" hidden="false" customHeight="false" outlineLevel="0" collapsed="false">
      <c r="A16" s="4" t="s">
        <v>177</v>
      </c>
      <c r="D16" s="41" t="n">
        <f aca="false">INDEX($B$9:$B$11,MATCH($D$4,$A$9:$A$11,0))</f>
        <v>0.1</v>
      </c>
    </row>
    <row r="17" customFormat="false" ht="15" hidden="false" customHeight="false" outlineLevel="0" collapsed="false">
      <c r="A17" s="6" t="s">
        <v>178</v>
      </c>
      <c r="D17" s="42" t="n">
        <f aca="false">D14*(1-D16)</f>
        <v>702</v>
      </c>
    </row>
    <row r="18" customFormat="false" ht="15" hidden="false" customHeight="false" outlineLevel="0" collapsed="false">
      <c r="A18" s="4" t="s">
        <v>179</v>
      </c>
      <c r="D18" s="43" t="n">
        <f aca="false">D14-D17</f>
        <v>78</v>
      </c>
    </row>
    <row r="19" customFormat="false" ht="15" hidden="false" customHeight="false" outlineLevel="0" collapsed="false">
      <c r="A19" s="6" t="s">
        <v>180</v>
      </c>
      <c r="D19" s="44" t="n">
        <f aca="false">D14/365*D15</f>
        <v>49832.3835616438</v>
      </c>
    </row>
    <row r="20" customFormat="false" ht="15" hidden="false" customHeight="false" outlineLevel="0" collapsed="false">
      <c r="A20" s="45" t="s">
        <v>181</v>
      </c>
      <c r="D20" s="46" t="n">
        <f aca="false">D18/365*D15</f>
        <v>4983.23835616438</v>
      </c>
    </row>
    <row r="21" customFormat="false" ht="15" hidden="false" customHeight="false" outlineLevel="0" collapsed="false">
      <c r="A21" s="2" t="s">
        <v>182</v>
      </c>
    </row>
    <row r="24" customFormat="false" ht="15" hidden="false" customHeight="false" outlineLevel="0" collapsed="false">
      <c r="A24" s="23" t="s">
        <v>183</v>
      </c>
    </row>
    <row r="25" customFormat="false" ht="15" hidden="false" customHeight="false" outlineLevel="0" collapsed="false">
      <c r="A25" s="3" t="s">
        <v>45</v>
      </c>
      <c r="B25" s="13" t="s">
        <v>99</v>
      </c>
      <c r="C25" s="13" t="s">
        <v>184</v>
      </c>
    </row>
    <row r="26" customFormat="false" ht="15" hidden="false" customHeight="false" outlineLevel="0" collapsed="false">
      <c r="A26" s="6" t="s">
        <v>101</v>
      </c>
      <c r="B26" s="25" t="n">
        <f aca="false">HAL_Data!F11/HAL_Data!F5</f>
        <v>0.275499410680287</v>
      </c>
      <c r="C26" s="29" t="n">
        <f aca="false">IF($D$5="Dassault",Dassault_Data!F7/Dassault_Data!F5,Lockheed_Data!F8/Lockheed_Data!F5)</f>
        <v>0.142914870689655</v>
      </c>
    </row>
    <row r="27" customFormat="false" ht="15" hidden="false" customHeight="false" outlineLevel="0" collapsed="false">
      <c r="A27" s="4" t="s">
        <v>185</v>
      </c>
      <c r="B27" s="24" t="n">
        <f aca="false">POWER(HAL_Data!F5/HAL_Data!B5,1/4)-1</f>
        <v>0.0767103764103108</v>
      </c>
      <c r="C27" s="31" t="n">
        <f aca="false">IF($D$5="Dassault",POWER(Dassault_Data!F5/Dassault_Data!B5,1/4)-1,POWER(Lockheed_Data!F5/Lockheed_Data!B5,1/4)-1)</f>
        <v>0.00650251563997317</v>
      </c>
    </row>
    <row r="28" customFormat="false" ht="15" hidden="false" customHeight="false" outlineLevel="0" collapsed="false">
      <c r="A28" s="6" t="s">
        <v>104</v>
      </c>
      <c r="B28" s="27" t="n">
        <f aca="false">(HAL_Data!F14-HAL_Data!F11)/HAL_Data!F6</f>
        <v>-0.931934493346981</v>
      </c>
      <c r="C28" s="47" t="n">
        <f aca="false">IF($D$5="Dassault",-2.5,Lockheed_Data!F11/(Lockheed_Data!F5*Lockheed_Data!F16))</f>
        <v>-2.5</v>
      </c>
    </row>
    <row r="30" customFormat="false" ht="15" hidden="false" customHeight="false" outlineLevel="0" collapsed="false">
      <c r="A30" s="2" t="s">
        <v>186</v>
      </c>
    </row>
  </sheetData>
  <dataValidations count="2">
    <dataValidation allowBlank="false" errorStyle="stop" operator="between" showDropDown="false" showErrorMessage="false" showInputMessage="false" sqref="D4" type="list">
      <formula1>"Conservative,Base case,Aggressive"</formula1>
      <formula2>0</formula2>
    </dataValidation>
    <dataValidation allowBlank="false" errorStyle="stop" operator="between" showDropDown="false" showErrorMessage="false" showInputMessage="false" sqref="D5" type="list">
      <formula1>"Dassault,Lockheed Martin"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</cols>
  <sheetData>
    <row r="1" customFormat="false" ht="18.55" hidden="false" customHeight="false" outlineLevel="0" collapsed="false">
      <c r="A1" s="1" t="s">
        <v>187</v>
      </c>
    </row>
    <row r="2" customFormat="false" ht="15" hidden="false" customHeight="false" outlineLevel="0" collapsed="false">
      <c r="A2" s="2" t="s">
        <v>188</v>
      </c>
    </row>
    <row r="4" customFormat="false" ht="15" hidden="false" customHeight="false" outlineLevel="0" collapsed="false">
      <c r="A4" s="2" t="s">
        <v>189</v>
      </c>
    </row>
    <row r="5" customFormat="false" ht="15" hidden="false" customHeight="false" outlineLevel="0" collapsed="false">
      <c r="A5" s="3" t="s">
        <v>190</v>
      </c>
      <c r="B5" s="13" t="s">
        <v>99</v>
      </c>
      <c r="C5" s="13" t="s">
        <v>191</v>
      </c>
      <c r="D5" s="13" t="s">
        <v>116</v>
      </c>
    </row>
    <row r="6" customFormat="false" ht="15" hidden="false" customHeight="false" outlineLevel="0" collapsed="false">
      <c r="A6" s="48" t="s">
        <v>192</v>
      </c>
      <c r="B6" s="25" t="n">
        <f aca="false">HAL_Data!B11/HAL_Data!B5</f>
        <v>0.206336311941511</v>
      </c>
      <c r="C6" s="25" t="n">
        <f aca="false">Dassault_Data!B7/Dassault_Data!B5</f>
        <v>0.0957976223389549</v>
      </c>
      <c r="D6" s="25" t="n">
        <f aca="false">Lockheed_Data!B8/Lockheed_Data!B5</f>
        <v>0.0941918739931985</v>
      </c>
    </row>
    <row r="7" customFormat="false" ht="15" hidden="false" customHeight="false" outlineLevel="0" collapsed="false">
      <c r="A7" s="48" t="s">
        <v>193</v>
      </c>
      <c r="B7" s="25" t="n">
        <f aca="false">HAL_Data!C11/HAL_Data!C5</f>
        <v>0.216437033460839</v>
      </c>
      <c r="C7" s="25" t="n">
        <f aca="false">Dassault_Data!C7/Dassault_Data!C5</f>
        <v>0.11976911976912</v>
      </c>
      <c r="D7" s="25" t="n">
        <f aca="false">Lockheed_Data!C8/Lockheed_Data!C5</f>
        <v>0.0868695441319108</v>
      </c>
    </row>
    <row r="8" customFormat="false" ht="15" hidden="false" customHeight="false" outlineLevel="0" collapsed="false">
      <c r="A8" s="48" t="s">
        <v>194</v>
      </c>
      <c r="B8" s="25" t="n">
        <f aca="false">HAL_Data!D11/HAL_Data!D5</f>
        <v>0.250847569204437</v>
      </c>
      <c r="C8" s="25" t="n">
        <f aca="false">Dassault_Data!D7/Dassault_Data!D5</f>
        <v>0.184391259105099</v>
      </c>
      <c r="D8" s="25" t="n">
        <f aca="false">Lockheed_Data!D8/Lockheed_Data!D5</f>
        <v>0.102410797531485</v>
      </c>
    </row>
    <row r="9" customFormat="false" ht="15" hidden="false" customHeight="false" outlineLevel="0" collapsed="false">
      <c r="A9" s="48" t="s">
        <v>195</v>
      </c>
      <c r="B9" s="25" t="n">
        <f aca="false">HAL_Data!E11/HAL_Data!E5</f>
        <v>0.26997191827249</v>
      </c>
      <c r="C9" s="25" t="n">
        <f aca="false">Dassault_Data!E7/Dassault_Data!E5</f>
        <v>0.169993560849968</v>
      </c>
      <c r="D9" s="25" t="n">
        <f aca="false">Lockheed_Data!E8/Lockheed_Data!E5</f>
        <v>0.0751094407612291</v>
      </c>
    </row>
    <row r="10" customFormat="false" ht="15" hidden="false" customHeight="false" outlineLevel="0" collapsed="false">
      <c r="A10" s="48" t="s">
        <v>196</v>
      </c>
      <c r="B10" s="25" t="n">
        <f aca="false">HAL_Data!F11/HAL_Data!F5</f>
        <v>0.275499410680287</v>
      </c>
      <c r="C10" s="25" t="n">
        <f aca="false">Dassault_Data!F7/Dassault_Data!F5</f>
        <v>0.142914870689655</v>
      </c>
      <c r="D10" s="25" t="n">
        <f aca="false">Lockheed_Data!F8/Lockheed_Data!F5</f>
        <v>0.0668505489819849</v>
      </c>
    </row>
    <row r="13" customFormat="false" ht="15" hidden="false" customHeight="false" outlineLevel="0" collapsed="false">
      <c r="A13" s="2" t="s">
        <v>197</v>
      </c>
    </row>
    <row r="14" customFormat="false" ht="15" hidden="false" customHeight="false" outlineLevel="0" collapsed="false">
      <c r="A14" s="3" t="s">
        <v>121</v>
      </c>
      <c r="B14" s="13" t="s">
        <v>101</v>
      </c>
    </row>
    <row r="15" customFormat="false" ht="15" hidden="false" customHeight="false" outlineLevel="0" collapsed="false">
      <c r="A15" s="7" t="s">
        <v>99</v>
      </c>
      <c r="B15" s="25" t="n">
        <f aca="false">HAL_Data!F11/HAL_Data!F5</f>
        <v>0.275499410680287</v>
      </c>
    </row>
    <row r="16" customFormat="false" ht="15" hidden="false" customHeight="false" outlineLevel="0" collapsed="false">
      <c r="A16" s="7" t="s">
        <v>115</v>
      </c>
      <c r="B16" s="25" t="n">
        <f aca="false">Dassault_Data!F7/Dassault_Data!F5</f>
        <v>0.142914870689655</v>
      </c>
    </row>
    <row r="17" customFormat="false" ht="15" hidden="false" customHeight="false" outlineLevel="0" collapsed="false">
      <c r="A17" s="7" t="s">
        <v>116</v>
      </c>
      <c r="B17" s="25" t="n">
        <f aca="false">Lockheed_Data!F8/Lockheed_Data!F5</f>
        <v>0.0668505489819849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2026-06-17T11:07:07Z</dcterms:created>
  <dc:creator>openpyxl</dc:creator>
  <dc:description/>
  <dc:language>en-US</dc:language>
  <cp:lastModifiedBy/>
  <dcterms:modified xsi:type="dcterms:W3CDTF">2026-06-17T11:07:11Z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