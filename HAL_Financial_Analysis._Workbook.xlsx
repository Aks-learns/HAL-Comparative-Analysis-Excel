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ssumptions" sheetId="2" state="visible" r:id="rId4"/>
    <sheet name="HAL_Data" sheetId="3" state="visible" r:id="rId5"/>
    <sheet name="Dassault_Data" sheetId="4" state="visible" r:id="rId6"/>
    <sheet name="Lockheed_Data" sheetId="5" state="visible" r:id="rId7"/>
    <sheet name="Ratios" sheetId="6" state="visible" r:id="rId8"/>
    <sheet name="Common_Size" sheetId="7" state="visible" r:id="rId9"/>
    <sheet name="DuPont" sheetId="8" state="visible" r:id="rId10"/>
    <sheet name="HAL_Forecast" sheetId="9" state="visible" r:id="rId11"/>
    <sheet name="DCF_Valuation" sheetId="10" state="visible" r:id="rId12"/>
    <sheet name="Valuation_Summary" sheetId="11" state="visible" r:id="rId13"/>
    <sheet name="Comps" sheetId="12" state="visible" r:id="rId14"/>
    <sheet name="Scenario_Tool" sheetId="13" state="visible" r:id="rId15"/>
    <sheet name="Scorecard" sheetId="14" state="visible" r:id="rId16"/>
    <sheet name="Charts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<sst xmlns="http://schemas.openxmlformats.org/spreadsheetml/2006/main" count="387" uniqueCount="273">
  <si>
    <t xml:space="preserve">  HAL — Executive Dashboard</t>
  </si>
  <si>
    <t xml:space="preserve">  Comparative financial analysis vs Dassault Aviation &amp; Lockheed Martin  •  live model  •  public data</t>
  </si>
  <si>
    <t xml:space="preserve">  Key metrics — HAL (latest year &amp; model output)</t>
  </si>
  <si>
    <t xml:space="preserve">Revenue FY26 (₹cr)</t>
  </si>
  <si>
    <t xml:space="preserve">Net margin</t>
  </si>
  <si>
    <t xml:space="preserve">ROE</t>
  </si>
  <si>
    <t xml:space="preserve">Revenue CAGR (5y)</t>
  </si>
  <si>
    <t xml:space="preserve">DCF value / share (₹)</t>
  </si>
  <si>
    <t xml:space="preserve">DCF upside vs price</t>
  </si>
  <si>
    <t xml:space="preserve">  Active scenario case</t>
  </si>
  <si>
    <t xml:space="preserve">← change on the Assumptions sheet to flex the forecast &amp; DCF</t>
  </si>
  <si>
    <t xml:space="preserve">  Three-company snapshot (latest year)</t>
  </si>
  <si>
    <t xml:space="preserve">Metric</t>
  </si>
  <si>
    <t xml:space="preserve">HAL</t>
  </si>
  <si>
    <t xml:space="preserve">Dassault</t>
  </si>
  <si>
    <t xml:space="preserve">Lockheed</t>
  </si>
  <si>
    <t xml:space="preserve">Net debt / EBITDA</t>
  </si>
  <si>
    <t xml:space="preserve">-2.5</t>
  </si>
  <si>
    <t xml:space="preserve">EV / EBITDA</t>
  </si>
  <si>
    <t xml:space="preserve">Navigate via the sheet tabs: Assumptions → Data → Ratios / Common-Size / DuPont → Forecast → DCF → Comps → Scenario Tool → Scorecard → Charts.</t>
  </si>
  <si>
    <t xml:space="preserve">  Assumptions &amp; Scenario Drivers</t>
  </si>
  <si>
    <t xml:space="preserve">  Blue = editable input.  Yellow = key assumption.  Switch the case in the green box to flex the whole model.</t>
  </si>
  <si>
    <t xml:space="preserve">  Foreign exchange (context only — all ratios are currency-neutral)</t>
  </si>
  <si>
    <t xml:space="preserve">Pair</t>
  </si>
  <si>
    <t xml:space="preserve">Rate</t>
  </si>
  <si>
    <t xml:space="preserve">Use</t>
  </si>
  <si>
    <t xml:space="preserve">USD / INR</t>
  </si>
  <si>
    <t xml:space="preserve">USD-equivalents for HAL</t>
  </si>
  <si>
    <t xml:space="preserve">EUR / USD</t>
  </si>
  <si>
    <t xml:space="preserve">USD-equivalents for Dassault</t>
  </si>
  <si>
    <t xml:space="preserve">EUR / INR</t>
  </si>
  <si>
    <t xml:space="preserve">Cross reference</t>
  </si>
  <si>
    <t xml:space="preserve">  ★ Active scenario case</t>
  </si>
  <si>
    <t xml:space="preserve">Select case →</t>
  </si>
  <si>
    <t xml:space="preserve">Base</t>
  </si>
  <si>
    <t xml:space="preserve">Drives HAL forecast growth, margins, capex, WACC and DCF value.</t>
  </si>
  <si>
    <t xml:space="preserve">  Forecast drivers (5-year HAL model)</t>
  </si>
  <si>
    <t xml:space="preserve">Driver</t>
  </si>
  <si>
    <t xml:space="preserve">Bull</t>
  </si>
  <si>
    <t xml:space="preserve">Bear</t>
  </si>
  <si>
    <t xml:space="preserve">Active</t>
  </si>
  <si>
    <t xml:space="preserve">Revenue growth (annual)</t>
  </si>
  <si>
    <t xml:space="preserve">EBITDA margin</t>
  </si>
  <si>
    <t xml:space="preserve">Effective tax rate</t>
  </si>
  <si>
    <t xml:space="preserve">Capex (% of revenue)</t>
  </si>
  <si>
    <t xml:space="preserve">D&amp;A (% of revenue)</t>
  </si>
  <si>
    <t xml:space="preserve">ΔWorking capital (% of Δrevenue)</t>
  </si>
  <si>
    <t xml:space="preserve">WACC (discount rate)</t>
  </si>
  <si>
    <t xml:space="preserve">Terminal growth rate</t>
  </si>
  <si>
    <t xml:space="preserve">  HAL — Source Data (₹ crore, consolidated)</t>
  </si>
  <si>
    <t xml:space="preserve">  Source: HAL annual reports &amp; BSE/NSE filings, FY22–FY26.</t>
  </si>
  <si>
    <t xml:space="preserve">FY22</t>
  </si>
  <si>
    <t xml:space="preserve">FY23</t>
  </si>
  <si>
    <t xml:space="preserve">FY24</t>
  </si>
  <si>
    <t xml:space="preserve">FY25</t>
  </si>
  <si>
    <t xml:space="preserve">FY26</t>
  </si>
  <si>
    <t xml:space="preserve">Revenue</t>
  </si>
  <si>
    <t xml:space="preserve">EBITDA</t>
  </si>
  <si>
    <t xml:space="preserve">Other income</t>
  </si>
  <si>
    <t xml:space="preserve">Interest</t>
  </si>
  <si>
    <t xml:space="preserve">Depreciation</t>
  </si>
  <si>
    <t xml:space="preserve">PBT</t>
  </si>
  <si>
    <t xml:space="preserve">Net profit</t>
  </si>
  <si>
    <t xml:space="preserve">Expenses (COGS+opex)</t>
  </si>
  <si>
    <t xml:space="preserve">Shareholders' equity</t>
  </si>
  <si>
    <t xml:space="preserve">Borrowings</t>
  </si>
  <si>
    <t xml:space="preserve">Total assets</t>
  </si>
  <si>
    <t xml:space="preserve">Inventory days</t>
  </si>
  <si>
    <t xml:space="preserve">Receivable days</t>
  </si>
  <si>
    <t xml:space="preserve">Payable days</t>
  </si>
  <si>
    <t xml:space="preserve">Cash-conversion cycle</t>
  </si>
  <si>
    <t xml:space="preserve">ROCE (reported)</t>
  </si>
  <si>
    <t xml:space="preserve">EPS (₹)</t>
  </si>
  <si>
    <t xml:space="preserve">Dividend payout</t>
  </si>
  <si>
    <t xml:space="preserve">Order book (approx ₹cr)</t>
  </si>
  <si>
    <t xml:space="preserve">  Dassault Aviation — Source Data (€ million, adjusted)</t>
  </si>
  <si>
    <t xml:space="preserve">  Source: Dassault annual reports &amp; financial releases 2021–2025.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</si>
  <si>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</si>
  <si>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</si>
  <si>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</si>
  <si>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</si>
  <si>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</si>
  <si>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Adj. net sales</t>
  </si>
  <si>
    <t xml:space="preserve">Adj. operating income</t>
  </si>
  <si>
    <t xml:space="preserve">Adj. net income</t>
  </si>
  <si>
    <t xml:space="preserve">of which Thales</t>
  </si>
  <si>
    <t xml:space="preserve">Self-funded R&amp;D</t>
  </si>
  <si>
    <t xml:space="preserve">Order backlog</t>
  </si>
  <si>
    <t xml:space="preserve">Order intake</t>
  </si>
  <si>
    <t xml:space="preserve">Available cash</t>
  </si>
  <si>
    <t xml:space="preserve">EPS (€)</t>
  </si>
  <si>
    <t xml:space="preserve">Dividend / share (€)</t>
  </si>
  <si>
    <t xml:space="preserve">  Lockheed Martin — Source Data ($ million)</t>
  </si>
  <si>
    <t xml:space="preserve">  Source: Lockheed Martin 10-K &amp; earnings releases 2021–2025.</t>
  </si>
  <si>
    <t xml:space="preserve">Gross profit</t>
  </si>
  <si>
    <t xml:space="preserve">EBIT</t>
  </si>
  <si>
    <t xml:space="preserve">Net income</t>
  </si>
  <si>
    <t xml:space="preserve">Net debt</t>
  </si>
  <si>
    <t xml:space="preserve">CapEx</t>
  </si>
  <si>
    <t xml:space="preserve">Free cash flow</t>
  </si>
  <si>
    <t xml:space="preserve">EPS ($)</t>
  </si>
  <si>
    <t xml:space="preserve">  Computed Ratios — live formulas</t>
  </si>
  <si>
    <t xml:space="preserve">  Green = pulls from a data sheet. Colour scale: red (low) → green (high) within each row.</t>
  </si>
  <si>
    <t xml:space="preserve">  HAL</t>
  </si>
  <si>
    <t xml:space="preserve">Ratio</t>
  </si>
  <si>
    <t xml:space="preserve">ROA</t>
  </si>
  <si>
    <t xml:space="preserve">  Dassault (adjusted)</t>
  </si>
  <si>
    <t xml:space="preserve">Net margin (reported)</t>
  </si>
  <si>
    <t xml:space="preserve">Net margin (ex-Thales)</t>
  </si>
  <si>
    <t xml:space="preserve">Operating margin</t>
  </si>
  <si>
    <t xml:space="preserve">Self-funded R&amp;D % sales</t>
  </si>
  <si>
    <t xml:space="preserve">  Lockheed Martin</t>
  </si>
  <si>
    <t xml:space="preserve">Gross margin</t>
  </si>
  <si>
    <t xml:space="preserve">EBIT margin</t>
  </si>
  <si>
    <t xml:space="preserve">  Common-Size Income Statements (% of revenue)</t>
  </si>
  <si>
    <t xml:space="preserve">  Normalises three very different-sized firms onto one comparable basis (latest 5 years).</t>
  </si>
  <si>
    <t xml:space="preserve">Line (% of revenue)</t>
  </si>
  <si>
    <t xml:space="preserve">  Dassault</t>
  </si>
  <si>
    <t xml:space="preserve">Operating income</t>
  </si>
  <si>
    <t xml:space="preserve">Thales contribution</t>
  </si>
  <si>
    <t xml:space="preserve">  DuPont Decomposition of ROE (latest year)</t>
  </si>
  <si>
    <t xml:space="preserve">  ROE = Net margin × Asset turnover × Equity multiplier.  *Dassault assets/equity approximate.</t>
  </si>
  <si>
    <t xml:space="preserve">Company</t>
  </si>
  <si>
    <t xml:space="preserve">Asset turnover</t>
  </si>
  <si>
    <t xml:space="preserve">Equity multiplier</t>
  </si>
  <si>
    <t xml:space="preserve">ROE (=product)</t>
  </si>
  <si>
    <t xml:space="preserve">Dassault inputs (€m):</t>
  </si>
  <si>
    <t xml:space="preserve">Dassault*</t>
  </si>
  <si>
    <t xml:space="preserve">Assets</t>
  </si>
  <si>
    <t xml:space="preserve">Lockheed Martin</t>
  </si>
  <si>
    <t xml:space="preserve">Equity</t>
  </si>
  <si>
    <t xml:space="preserve">Read: HAL &amp; Dassault reach a similar ROE by different routes (HAL via margin); Lockheed's high ROE is mostly leverage (equity multiplier &gt; 8×).</t>
  </si>
  <si>
    <t xml:space="preserve">  HAL — 5-Year Forecast Model (₹ crore)</t>
  </si>
  <si>
    <t xml:space="preserve">  Driver-based projection. All drivers flow from the Assumptions sheet (active scenario case).</t>
  </si>
  <si>
    <t xml:space="preserve">Line item</t>
  </si>
  <si>
    <t xml:space="preserve">FY26 (base)</t>
  </si>
  <si>
    <t xml:space="preserve">FY27E</t>
  </si>
  <si>
    <t xml:space="preserve">FY28E</t>
  </si>
  <si>
    <t xml:space="preserve">FY29E</t>
  </si>
  <si>
    <t xml:space="preserve">FY30E</t>
  </si>
  <si>
    <t xml:space="preserve">FY31E</t>
  </si>
  <si>
    <t xml:space="preserve">  growth %</t>
  </si>
  <si>
    <t xml:space="preserve">Depreciation &amp; amort.</t>
  </si>
  <si>
    <t xml:space="preserve">Tax</t>
  </si>
  <si>
    <t xml:space="preserve">NOPAT</t>
  </si>
  <si>
    <t xml:space="preserve">Capex</t>
  </si>
  <si>
    <t xml:space="preserve">Δ Revenue</t>
  </si>
  <si>
    <t xml:space="preserve">Δ Working capital</t>
  </si>
  <si>
    <t xml:space="preserve">Free cash flow to firm (FCFF)</t>
  </si>
  <si>
    <t xml:space="preserve">Note: D&amp;A and capex shown as negatives in the build. FCFF = NOPAT + D&amp;A − Capex − ΔWC. Drivers are on the Assumptions sheet.</t>
  </si>
  <si>
    <t xml:space="preserve">  HAL — DCF Valuation &amp; Sensitivity</t>
  </si>
  <si>
    <t xml:space="preserve">  Discounts the forecast FCFF at WACC; terminal value via Gordon growth. Inputs in blue; case-driven cells in green.</t>
  </si>
  <si>
    <t xml:space="preserve">  Key inputs</t>
  </si>
  <si>
    <t xml:space="preserve">WACC (from active case)</t>
  </si>
  <si>
    <t xml:space="preserve">Terminal growth (from active case)</t>
  </si>
  <si>
    <t xml:space="preserve">Net cash (₹cr, approx)</t>
  </si>
  <si>
    <t xml:space="preserve">Shares outstanding (crore)</t>
  </si>
  <si>
    <t xml:space="preserve">Current share price (₹)</t>
  </si>
  <si>
    <t xml:space="preserve">  Valuation build</t>
  </si>
  <si>
    <t xml:space="preserve">PV of explicit FCFF (FY27–31)</t>
  </si>
  <si>
    <t xml:space="preserve">Terminal value (end FY31)</t>
  </si>
  <si>
    <t xml:space="preserve">PV of terminal value</t>
  </si>
  <si>
    <t xml:space="preserve">Enterprise value</t>
  </si>
  <si>
    <t xml:space="preserve">(+) Net cash</t>
  </si>
  <si>
    <t xml:space="preserve">Equity value</t>
  </si>
  <si>
    <t xml:space="preserve">Value per share (₹)</t>
  </si>
  <si>
    <t xml:space="preserve">Upside / (downside) vs price</t>
  </si>
  <si>
    <t xml:space="preserve">  Sensitivity — value per share (₹):  WACC (down) × terminal growth (across)</t>
  </si>
  <si>
    <t xml:space="preserve">WACC ↓ / g →</t>
  </si>
  <si>
    <t xml:space="preserve">Illustrative DCF on public data — NOT a price target. A standard DCF tends to value HAL below its market price: the market embeds a multi-year defence super-cycle and export optionality beyond this 5-year window. Read the sensitivity grid as a range, and treat the gap to market as 'growth priced in', not as a call. Net cash &amp; price are editable.</t>
  </si>
  <si>
    <t xml:space="preserve">  Football-Field Valuation Summary — HAL</t>
  </si>
  <si>
    <t xml:space="preserve">  Each method is a RANGE, not a point estimate. DCF range flexes with the active case on Assumptions. Illustrative — not a price target.</t>
  </si>
  <si>
    <t xml:space="preserve">  Shared inputs (linked to the model)</t>
  </si>
  <si>
    <t xml:space="preserve">HAL EPS (FY26, ₹)</t>
  </si>
  <si>
    <t xml:space="preserve">HAL EBITDA (FY26, ₹cr)</t>
  </si>
  <si>
    <t xml:space="preserve">Net cash (₹cr)</t>
  </si>
  <si>
    <t xml:space="preserve">Current market price (₹)</t>
  </si>
  <si>
    <t xml:space="preserve">  Valuation ranges (₹ per share)</t>
  </si>
  <si>
    <t xml:space="preserve">Method</t>
  </si>
  <si>
    <t xml:space="preserve">Low</t>
  </si>
  <si>
    <t xml:space="preserve">High</t>
  </si>
  <si>
    <t xml:space="preserve">Midpoint</t>
  </si>
  <si>
    <t xml:space="preserve">Basis</t>
  </si>
  <si>
    <t xml:space="preserve">Base (hidden)</t>
  </si>
  <si>
    <t xml:space="preserve">Span</t>
  </si>
  <si>
    <t xml:space="preserve">DCF — WACC × terminal growth</t>
  </si>
  <si>
    <t xml:space="preserve">Full sensitivity grid (live)</t>
  </si>
  <si>
    <t xml:space="preserve">Peer P/E applied to HAL EPS</t>
  </si>
  <si>
    <t xml:space="preserve">Dassault &amp; Lockheed P/E × HAL EPS</t>
  </si>
  <si>
    <t xml:space="preserve">Peer EV/EBITDA applied to HAL</t>
  </si>
  <si>
    <t xml:space="preserve">Peer EV/EBITDA × HAL EBITDA + net cash</t>
  </si>
  <si>
    <t xml:space="preserve">HAL's own trading range</t>
  </si>
  <si>
    <t xml:space="preserve">~25×–40× earnings (editable)</t>
  </si>
  <si>
    <t xml:space="preserve">Market price (₹)</t>
  </si>
  <si>
    <t xml:space="preserve">← compare each range against this</t>
  </si>
  <si>
    <t xml:space="preserve">Chart: the coloured bar spans Low → High for each method. Compare the clustering against the market price above.</t>
  </si>
  <si>
    <t xml:space="preserve">  Relative Valuation (Comps)</t>
  </si>
  <si>
    <t xml:space="preserve">  Market multiples across the three. Market caps in blue (indicative, native currency).</t>
  </si>
  <si>
    <t xml:space="preserve">HAL (₹cr)</t>
  </si>
  <si>
    <t xml:space="preserve">Dassault (€m)</t>
  </si>
  <si>
    <t xml:space="preserve">Lockheed ($m)</t>
  </si>
  <si>
    <t xml:space="preserve"> </t>
  </si>
  <si>
    <t xml:space="preserve">Market capitalisation</t>
  </si>
  <si>
    <t xml:space="preserve">(+) Net debt / (− net cash)</t>
  </si>
  <si>
    <t xml:space="preserve">Enterprise value (EV)</t>
  </si>
  <si>
    <t xml:space="preserve">P / E</t>
  </si>
  <si>
    <t xml:space="preserve">EV / Sales</t>
  </si>
  <si>
    <t xml:space="preserve">Caveats: market caps are indicative point-in-time inputs; HAL net cash links to the DCF assumption. Multiples are cross-currency-consistent (each in its own currency).</t>
  </si>
  <si>
    <t xml:space="preserve">  ★ Working-Capital Scenario Tool</t>
  </si>
  <si>
    <t xml:space="preserve">  Independent what-if on inventory efficiency. Pick options in the yellow dropdowns.</t>
  </si>
  <si>
    <t xml:space="preserve">Step 1 — inventory-day reduction scenario:</t>
  </si>
  <si>
    <t xml:space="preserve">Base case</t>
  </si>
  <si>
    <t xml:space="preserve">Step 2 — benchmark HAL against:</t>
  </si>
  <si>
    <t xml:space="preserve">  Scenario assumptions (editable)</t>
  </si>
  <si>
    <t xml:space="preserve">Scenario</t>
  </si>
  <si>
    <t xml:space="preserve">Inv-day reduction</t>
  </si>
  <si>
    <t xml:space="preserve">Conservative</t>
  </si>
  <si>
    <t xml:space="preserve">Aggressive</t>
  </si>
  <si>
    <t xml:space="preserve">  Cash-release calculation</t>
  </si>
  <si>
    <t xml:space="preserve">Current inventory days (FY26)</t>
  </si>
  <si>
    <t xml:space="preserve">Annual COGS / expenses (FY26, ₹cr)</t>
  </si>
  <si>
    <t xml:space="preserve">Selected reduction %</t>
  </si>
  <si>
    <t xml:space="preserve">New inventory days</t>
  </si>
  <si>
    <t xml:space="preserve">Inventory days saved</t>
  </si>
  <si>
    <t xml:space="preserve">Implied inventory value today (₹cr)</t>
  </si>
  <si>
    <t xml:space="preserve">➤ CASH RELEASED (₹ crore)</t>
  </si>
  <si>
    <t xml:space="preserve">  HAL vs selected peer — latest year</t>
  </si>
  <si>
    <t xml:space="preserve">Selected peer</t>
  </si>
  <si>
    <t xml:space="preserve">Revenue CAGR (5-yr)</t>
  </si>
  <si>
    <t xml:space="preserve">  Benchmarking Scorecard</t>
  </si>
  <si>
    <t xml:space="preserve">  A = HAL clearly stronger → D = HAL clearly weaker, relative to that peer.</t>
  </si>
  <si>
    <t xml:space="preserve">Parameter</t>
  </si>
  <si>
    <t xml:space="preserve">HAL vs Dassault</t>
  </si>
  <si>
    <t xml:space="preserve">HAL vs Lockheed</t>
  </si>
  <si>
    <t xml:space="preserve">Comment</t>
  </si>
  <si>
    <t xml:space="preserve">Profitability (margins)</t>
  </si>
  <si>
    <t xml:space="preserve">A</t>
  </si>
  <si>
    <t xml:space="preserve">B</t>
  </si>
  <si>
    <t xml:space="preserve">HAL ahead; Dassault flattered by Thales</t>
  </si>
  <si>
    <t xml:space="preserve">Returns quality (ROA/ROCE)</t>
  </si>
  <si>
    <t xml:space="preserve">HAL high-quality; LMT ROE via leverage</t>
  </si>
  <si>
    <t xml:space="preserve">Liquidity / net cash</t>
  </si>
  <si>
    <t xml:space="preserve">HAL &amp; Dassault net-cash; LMT levered</t>
  </si>
  <si>
    <t xml:space="preserve">Solvency / leverage</t>
  </si>
  <si>
    <t xml:space="preserve">HAL near debt-free</t>
  </si>
  <si>
    <t xml:space="preserve">Efficiency / working capital</t>
  </si>
  <si>
    <t xml:space="preserve">D</t>
  </si>
  <si>
    <t xml:space="preserve">C</t>
  </si>
  <si>
    <t xml:space="preserve">HAL's main weakness — inventory lock-up</t>
  </si>
  <si>
    <t xml:space="preserve">Revenue growth</t>
  </si>
  <si>
    <t xml:space="preserve">HAL fastest &amp; steadiest</t>
  </si>
  <si>
    <t xml:space="preserve">Order-book visibility</t>
  </si>
  <si>
    <t xml:space="preserve">All strong; Dassault deepest cover</t>
  </si>
  <si>
    <t xml:space="preserve">R&amp;D intensity (on-books)</t>
  </si>
  <si>
    <t xml:space="preserve">Misleading — much HAL R&amp;D off-books</t>
  </si>
  <si>
    <t xml:space="preserve">IP / design authority</t>
  </si>
  <si>
    <t xml:space="preserve">Peers own platform IP</t>
  </si>
  <si>
    <t xml:space="preserve">Diversification</t>
  </si>
  <si>
    <t xml:space="preserve">HAL &amp; Dassault concentrated; LMT broad</t>
  </si>
  <si>
    <t xml:space="preserve">Capital return to holders</t>
  </si>
  <si>
    <t xml:space="preserve">LMT &amp; Dassault higher payout</t>
  </si>
  <si>
    <t xml:space="preserve">Valuation / growth premium</t>
  </si>
  <si>
    <t xml:space="preserve">Market already rewards HAL</t>
  </si>
  <si>
    <t xml:space="preserve">  Visual Trends</t>
  </si>
  <si>
    <t xml:space="preserve">  Charts read live from the data sheets.</t>
  </si>
  <si>
    <t xml:space="preserve">Net margin (%)</t>
  </si>
  <si>
    <t xml:space="preserve">Year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</si>
  <si>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</si>
  <si>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</si>
  <si>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</si>
  <si>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</si>
  <si>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</si>
  <si>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HAL forecast revenue (₹cr)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</si>
</sst>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0.0\×"/>
    <numFmt numFmtId="168" formatCode="0.00"/>
    <numFmt numFmtId="169" formatCode="0"/>
    <numFmt numFmtId="170" formatCode="0%"/>
    <numFmt numFmtId="171" formatCode="0.00\×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E8F0E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9"/>
      <color rgb="FF44444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555555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6F54"/>
      <name val="Arial"/>
      <family val="0"/>
      <charset val="1"/>
    </font>
    <font>
      <b val="true"/>
      <sz val="10"/>
      <color rgb="FF3A8F6F"/>
      <name val="Arial"/>
      <family val="0"/>
      <charset val="1"/>
    </font>
    <font>
      <b val="true"/>
      <sz val="10"/>
      <color rgb="FFC4561F"/>
      <name val="Arial"/>
      <family val="0"/>
      <charset val="1"/>
    </font>
    <font>
      <b val="true"/>
      <sz val="10"/>
      <color rgb="FFB58A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4543F"/>
        <bgColor rgb="FF1F6F54"/>
      </patternFill>
    </fill>
    <fill>
      <patternFill patternType="solid">
        <fgColor rgb="FF1F6F54"/>
        <bgColor rgb="FF14543F"/>
      </patternFill>
    </fill>
    <fill>
      <patternFill patternType="solid">
        <fgColor rgb="FF2F5B8F"/>
        <bgColor rgb="FF1F6F54"/>
      </patternFill>
    </fill>
    <fill>
      <patternFill patternType="solid">
        <fgColor rgb="FFC4561F"/>
        <bgColor rgb="FFBE4B48"/>
      </patternFill>
    </fill>
    <fill>
      <patternFill patternType="solid">
        <fgColor rgb="FFF4F7F6"/>
        <bgColor rgb="FFEAF1EE"/>
      </patternFill>
    </fill>
    <fill>
      <patternFill patternType="solid">
        <fgColor rgb="FFFFF6CC"/>
        <bgColor rgb="FFF6EFD7"/>
      </patternFill>
    </fill>
    <fill>
      <patternFill patternType="solid">
        <fgColor rgb="FFEAF1EE"/>
        <bgColor rgb="FFE8F0ED"/>
      </patternFill>
    </fill>
    <fill>
      <patternFill patternType="solid">
        <fgColor rgb="FFD7E8E0"/>
        <bgColor rgb="FFE2EFE9"/>
      </patternFill>
    </fill>
    <fill>
      <patternFill patternType="solid">
        <fgColor rgb="FFE2EFE9"/>
        <bgColor rgb="FFE8F0ED"/>
      </patternFill>
    </fill>
    <fill>
      <patternFill patternType="solid">
        <fgColor rgb="FFF6E2D5"/>
        <bgColor rgb="FFF6EFD7"/>
      </patternFill>
    </fill>
    <fill>
      <patternFill patternType="solid">
        <fgColor rgb="FFF6EFD7"/>
        <bgColor rgb="FFFFF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AF1EE"/>
      <rgbColor rgb="FFFF00FF"/>
      <rgbColor rgb="FF00FFFF"/>
      <rgbColor rgb="FF9C0006"/>
      <rgbColor rgb="FF008000"/>
      <rgbColor rgb="FF000080"/>
      <rgbColor rgb="FFB58A00"/>
      <rgbColor rgb="FF800080"/>
      <rgbColor rgb="FF1F6F54"/>
      <rgbColor rgb="FFB3B3B3"/>
      <rgbColor rgb="FF7C7C7C"/>
      <rgbColor rgb="FF878787"/>
      <rgbColor rgb="FFBE4B48"/>
      <rgbColor rgb="FFFFF6CC"/>
      <rgbColor rgb="FFE2EFE9"/>
      <rgbColor rgb="FF660066"/>
      <rgbColor rgb="FFFF8080"/>
      <rgbColor rgb="FF0066CC"/>
      <rgbColor rgb="FFD0D0D0"/>
      <rgbColor rgb="FF000080"/>
      <rgbColor rgb="FFFF00FF"/>
      <rgbColor rgb="FFF4F7F6"/>
      <rgbColor rgb="FF00FFFF"/>
      <rgbColor rgb="FF800080"/>
      <rgbColor rgb="FF800000"/>
      <rgbColor rgb="FF008080"/>
      <rgbColor rgb="FF0000FF"/>
      <rgbColor rgb="FF00CCFF"/>
      <rgbColor rgb="FFE8F0ED"/>
      <rgbColor rgb="FFC6EFCE"/>
      <rgbColor rgb="FFF6EFD7"/>
      <rgbColor rgb="FFD9D9D9"/>
      <rgbColor rgb="FFF6E2D5"/>
      <rgbColor rgb="FFD7E8E0"/>
      <rgbColor rgb="FFFFC7CE"/>
      <rgbColor rgb="FF4F81BD"/>
      <rgbColor rgb="FF33CCCC"/>
      <rgbColor rgb="FF98B855"/>
      <rgbColor rgb="FFFFCC00"/>
      <rgbColor rgb="FFFF9900"/>
      <rgbColor rgb="FFC4561F"/>
      <rgbColor rgb="FF4A7EBB"/>
      <rgbColor rgb="FF999999"/>
      <rgbColor rgb="FF14543F"/>
      <rgbColor rgb="FF3A8F6F"/>
      <rgbColor rgb="FF006100"/>
      <rgbColor rgb="FF444444"/>
      <rgbColor rgb="FFC0392B"/>
      <rgbColor rgb="FF555555"/>
      <rgbColor rgb="FF2F5B8F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Football field — implied value per share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Valuation_Summary!G12</c:f>
              <c:strCache>
                <c:ptCount val="1"/>
                <c:pt idx="0">
                  <c:v>Base (hidden)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Valuation_Summary!$A$13:$A$16</c:f>
              <c:strCache>
                <c:ptCount val="4"/>
                <c:pt idx="0">
                  <c:v>DCF — WACC × terminal growth</c:v>
                </c:pt>
                <c:pt idx="1">
                  <c:v>Peer P/E applied to HAL EPS</c:v>
                </c:pt>
                <c:pt idx="2">
                  <c:v>Peer EV/EBITDA applied to HAL</c:v>
                </c:pt>
                <c:pt idx="3">
                  <c:v>HAL's own trading range</c:v>
                </c:pt>
              </c:strCache>
            </c:strRef>
          </c:cat>
          <c:val>
            <c:numRef>
              <c:f>Valuation_Summary!$G$13:$G$16</c:f>
              <c:numCache>
                <c:formatCode>#,##0</c:formatCode>
                <c:ptCount val="4"/>
                <c:pt idx="0">
                  <c:v>1721.97705030559</c:v>
                </c:pt>
                <c:pt idx="1">
                  <c:v>1785.64561734213</c:v>
                </c:pt>
                <c:pt idx="2">
                  <c:v>1409.87762526094</c:v>
                </c:pt>
                <c:pt idx="3">
                  <c:v>3407.5</c:v>
                </c:pt>
              </c:numCache>
            </c:numRef>
          </c:val>
        </c:ser>
        <c:ser>
          <c:idx val="1"/>
          <c:order val="1"/>
          <c:tx>
            <c:strRef>
              <c:f>Valuation_Summary!H12</c:f>
              <c:strCache>
                <c:ptCount val="1"/>
                <c:pt idx="0">
                  <c:v>Span</c:v>
                </c:pt>
              </c:strCache>
            </c:strRef>
          </c:tx>
          <c:spPr>
            <a:solidFill>
              <a:srgbClr val="1f6f54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Valuation_Summary!$A$13:$A$16</c:f>
              <c:strCache>
                <c:ptCount val="4"/>
                <c:pt idx="0">
                  <c:v>DCF — WACC × terminal growth</c:v>
                </c:pt>
                <c:pt idx="1">
                  <c:v>Peer P/E applied to HAL EPS</c:v>
                </c:pt>
                <c:pt idx="2">
                  <c:v>Peer EV/EBITDA applied to HAL</c:v>
                </c:pt>
                <c:pt idx="3">
                  <c:v>HAL's own trading range</c:v>
                </c:pt>
              </c:strCache>
            </c:strRef>
          </c:cat>
          <c:val>
            <c:numRef>
              <c:f>Valuation_Summary!$H$13:$H$16</c:f>
              <c:numCache>
                <c:formatCode>#,##0</c:formatCode>
                <c:ptCount val="4"/>
                <c:pt idx="0">
                  <c:v>2319.12534453864</c:v>
                </c:pt>
                <c:pt idx="1">
                  <c:v>1202.79368901625</c:v>
                </c:pt>
                <c:pt idx="2">
                  <c:v>944.101017116504</c:v>
                </c:pt>
                <c:pt idx="3">
                  <c:v>2044.5</c:v>
                </c:pt>
              </c:numCache>
            </c:numRef>
          </c:val>
        </c:ser>
        <c:gapWidth val="60"/>
        <c:overlap val="100"/>
        <c:axId val="77162263"/>
        <c:axId val="75649166"/>
      </c:barChart>
      <c:catAx>
        <c:axId val="7716226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Implied value per share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649166"/>
        <c:crosses val="autoZero"/>
        <c:auto val="1"/>
        <c:lblAlgn val="ctr"/>
        <c:lblOffset val="100"/>
        <c:noMultiLvlLbl val="0"/>
      </c:catAx>
      <c:valAx>
        <c:axId val="7564916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1622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profit margin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Charts!B5</c:f>
              <c:strCache>
                <c:ptCount val="1"/>
                <c:pt idx="0">
                  <c:v>HAL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Charts!$A$6:$A$10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Charts!$B$6:$B$10</c:f>
              <c:numCache>
                <c:formatCode>0.0%</c:formatCode>
                <c:ptCount val="5"/>
                <c:pt idx="0">
                  <c:v>0.206336311941511</c:v>
                </c:pt>
                <c:pt idx="1">
                  <c:v>0.216437033460839</c:v>
                </c:pt>
                <c:pt idx="2">
                  <c:v>0.250847569204437</c:v>
                </c:pt>
                <c:pt idx="3">
                  <c:v>0.26997191827249</c:v>
                </c:pt>
                <c:pt idx="4">
                  <c:v>0.275499410680287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Charts!C5</c:f>
              <c:strCache>
                <c:ptCount val="1"/>
                <c:pt idx="0">
                  <c:v>Dassault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Charts!$A$6:$A$10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Charts!$C$6:$C$10</c:f>
              <c:numCache>
                <c:formatCode>0.0%</c:formatCode>
                <c:ptCount val="5"/>
                <c:pt idx="0">
                  <c:v>0.0957976223389549</c:v>
                </c:pt>
                <c:pt idx="1">
                  <c:v>0.11976911976912</c:v>
                </c:pt>
                <c:pt idx="2">
                  <c:v>0.184391259105099</c:v>
                </c:pt>
                <c:pt idx="3">
                  <c:v>0.169993560849968</c:v>
                </c:pt>
                <c:pt idx="4">
                  <c:v>0.142914870689655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Charts!D5</c:f>
              <c:strCache>
                <c:ptCount val="1"/>
                <c:pt idx="0">
                  <c:v>Lockheed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Charts!$A$6:$A$10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Charts!$D$6:$D$10</c:f>
              <c:numCache>
                <c:formatCode>0.0%</c:formatCode>
                <c:ptCount val="5"/>
                <c:pt idx="0">
                  <c:v>0.0941918739931985</c:v>
                </c:pt>
                <c:pt idx="1">
                  <c:v>0.0868695441319108</c:v>
                </c:pt>
                <c:pt idx="2">
                  <c:v>0.102410797531485</c:v>
                </c:pt>
                <c:pt idx="3">
                  <c:v>0.0751094407612291</c:v>
                </c:pt>
                <c:pt idx="4">
                  <c:v>0.0668505489819849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6978442"/>
        <c:axId val="31849088"/>
      </c:lineChart>
      <c:catAx>
        <c:axId val="169784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849088"/>
        <c:crosses val="autoZero"/>
        <c:auto val="1"/>
        <c:lblAlgn val="ctr"/>
        <c:lblOffset val="100"/>
        <c:noMultiLvlLbl val="0"/>
      </c:catAx>
      <c:valAx>
        <c:axId val="318490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9784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HAL revenue — history base +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Charts!B14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Charts!$A$15:$A$21</c:f>
              <c:strCache>
                <c:ptCount val="7"/>
                <c:pt idx="0">
                  <c:v>FY26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  <c:pt idx="4">
                  <c:v>FY30E</c:v>
                </c:pt>
                <c:pt idx="5">
                  <c:v>FY31E</c:v>
                </c:pt>
                <c:pt idx="6">
                  <c:v/>
                </c:pt>
              </c:strCache>
            </c:strRef>
          </c:cat>
          <c:val>
            <c:numRef>
              <c:f>Charts!$B$15:$B$21</c:f>
              <c:numCache>
                <c:formatCode>#,##0</c:formatCode>
                <c:ptCount val="7"/>
                <c:pt idx="0">
                  <c:v>33089</c:v>
                </c:pt>
                <c:pt idx="1">
                  <c:v>37390.57</c:v>
                </c:pt>
                <c:pt idx="2">
                  <c:v>42251.3441</c:v>
                </c:pt>
                <c:pt idx="3">
                  <c:v>47744.018833</c:v>
                </c:pt>
                <c:pt idx="4">
                  <c:v>53950.74128129</c:v>
                </c:pt>
                <c:pt idx="5">
                  <c:v>60964.3376478577</c:v>
                </c:pt>
              </c:numCache>
            </c:numRef>
          </c:val>
        </c:ser>
        <c:gapWidth val="150"/>
        <c:overlap val="0"/>
        <c:axId val="84108851"/>
        <c:axId val="90520497"/>
      </c:barChart>
      <c:catAx>
        <c:axId val="841088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520497"/>
        <c:crosses val="autoZero"/>
        <c:auto val="1"/>
        <c:lblAlgn val="ctr"/>
        <c:lblOffset val="100"/>
        <c:noMultiLvlLbl val="0"/>
      </c:catAx>
      <c:valAx>
        <c:axId val="905204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1088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0</xdr:rowOff>
    </xdr:from>
    <xdr:to>
      <xdr:col>4</xdr:col>
      <xdr:colOff>1835280</xdr:colOff>
      <xdr:row>36</xdr:row>
      <xdr:rowOff>11520</xdr:rowOff>
    </xdr:to>
    <xdr:graphicFrame>
      <xdr:nvGraphicFramePr>
        <xdr:cNvPr id="0" name="Chart 1"/>
        <xdr:cNvGraphicFramePr/>
      </xdr:nvGraphicFramePr>
      <xdr:xfrm>
        <a:off x="0" y="4010040"/>
        <a:ext cx="68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13</xdr:col>
      <xdr:colOff>507240</xdr:colOff>
      <xdr:row>17</xdr:row>
      <xdr:rowOff>32400</xdr:rowOff>
    </xdr:to>
    <xdr:graphicFrame>
      <xdr:nvGraphicFramePr>
        <xdr:cNvPr id="1" name="Chart 1"/>
        <xdr:cNvGraphicFramePr/>
      </xdr:nvGraphicFramePr>
      <xdr:xfrm>
        <a:off x="3994920" y="771480"/>
        <a:ext cx="539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18</xdr:row>
      <xdr:rowOff>0</xdr:rowOff>
    </xdr:from>
    <xdr:to>
      <xdr:col>13</xdr:col>
      <xdr:colOff>507240</xdr:colOff>
      <xdr:row>32</xdr:row>
      <xdr:rowOff>32400</xdr:rowOff>
    </xdr:to>
    <xdr:graphicFrame>
      <xdr:nvGraphicFramePr>
        <xdr:cNvPr id="2" name="Chart 2"/>
        <xdr:cNvGraphicFramePr/>
      </xdr:nvGraphicFramePr>
      <xdr:xfrm>
        <a:off x="3994920" y="3629160"/>
        <a:ext cx="539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543F"/>
    <pageSetUpPr fitToPage="true"/>
  </sheetPr>
  <dimension ref="A1:H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8" min="2" style="1" width="15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9.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6" customFormat="false" ht="15" hidden="false" customHeight="true" outlineLevel="0" collapsed="false">
      <c r="B6" s="5" t="n">
        <f aca="false">HAL_Data!F5</f>
        <v>33089</v>
      </c>
      <c r="C6" s="5"/>
      <c r="D6" s="6" t="n">
        <f aca="false">HAL_Data!F11/HAL_Data!F5</f>
        <v>0.275499410680287</v>
      </c>
      <c r="E6" s="6"/>
      <c r="F6" s="7" t="n">
        <f aca="false">HAL_Data!F11/HAL_Data!F13</f>
        <v>0.222119344070564</v>
      </c>
      <c r="G6" s="7"/>
    </row>
    <row r="7" customFormat="false" ht="15" hidden="false" customHeight="true" outlineLevel="0" collapsed="false">
      <c r="B7" s="5"/>
      <c r="C7" s="5"/>
      <c r="D7" s="6"/>
      <c r="E7" s="6"/>
      <c r="F7" s="7"/>
      <c r="G7" s="7"/>
    </row>
    <row r="8" customFormat="false" ht="15" hidden="false" customHeight="true" outlineLevel="0" collapsed="false">
      <c r="B8" s="5"/>
      <c r="C8" s="5"/>
      <c r="D8" s="6"/>
      <c r="E8" s="6"/>
      <c r="F8" s="7"/>
      <c r="G8" s="7"/>
    </row>
    <row r="9" customFormat="false" ht="15" hidden="false" customHeight="true" outlineLevel="0" collapsed="false">
      <c r="B9" s="8" t="s">
        <v>3</v>
      </c>
      <c r="C9" s="8"/>
      <c r="D9" s="8" t="s">
        <v>4</v>
      </c>
      <c r="E9" s="8"/>
      <c r="F9" s="8" t="s">
        <v>5</v>
      </c>
      <c r="G9" s="8"/>
    </row>
    <row r="12" customFormat="false" ht="15" hidden="false" customHeight="true" outlineLevel="0" collapsed="false">
      <c r="B12" s="6" t="n">
        <f aca="false">POWER(HAL_Data!F5/HAL_Data!B5,1/4)-1</f>
        <v>0.0767103764103108</v>
      </c>
      <c r="C12" s="6"/>
      <c r="D12" s="5" t="n">
        <f aca="false">DCF_Valuation!C18</f>
        <v>2420.03537854386</v>
      </c>
      <c r="E12" s="5"/>
      <c r="F12" s="7" t="n">
        <f aca="false">DCF_Valuation!C19</f>
        <v>-0.431249029719422</v>
      </c>
      <c r="G12" s="7"/>
    </row>
    <row r="13" customFormat="false" ht="15" hidden="false" customHeight="true" outlineLevel="0" collapsed="false">
      <c r="B13" s="6"/>
      <c r="C13" s="6"/>
      <c r="D13" s="5"/>
      <c r="E13" s="5"/>
      <c r="F13" s="7"/>
      <c r="G13" s="7"/>
    </row>
    <row r="14" customFormat="false" ht="15" hidden="false" customHeight="true" outlineLevel="0" collapsed="false">
      <c r="B14" s="6"/>
      <c r="C14" s="6"/>
      <c r="D14" s="5"/>
      <c r="E14" s="5"/>
      <c r="F14" s="7"/>
      <c r="G14" s="7"/>
    </row>
    <row r="15" customFormat="false" ht="15" hidden="false" customHeight="true" outlineLevel="0" collapsed="false">
      <c r="B15" s="8" t="s">
        <v>6</v>
      </c>
      <c r="C15" s="8"/>
      <c r="D15" s="8" t="s">
        <v>7</v>
      </c>
      <c r="E15" s="8"/>
      <c r="F15" s="8" t="s">
        <v>8</v>
      </c>
      <c r="G15" s="8"/>
    </row>
    <row r="17" customFormat="false" ht="19.5" hidden="false" customHeight="true" outlineLevel="0" collapsed="false">
      <c r="A17" s="4" t="s">
        <v>9</v>
      </c>
      <c r="B17" s="4"/>
      <c r="C17" s="4"/>
      <c r="D17" s="4"/>
      <c r="E17" s="4"/>
      <c r="F17" s="4"/>
      <c r="G17" s="4"/>
      <c r="H17" s="4"/>
    </row>
    <row r="18" customFormat="false" ht="15" hidden="false" customHeight="true" outlineLevel="0" collapsed="false">
      <c r="B18" s="9" t="str">
        <f aca="false">Assumptions!B11</f>
        <v>Base</v>
      </c>
      <c r="C18" s="9"/>
      <c r="D18" s="10" t="s">
        <v>10</v>
      </c>
    </row>
    <row r="20" customFormat="false" ht="19.5" hidden="false" customHeight="true" outlineLevel="0" collapsed="false">
      <c r="A20" s="4" t="s">
        <v>11</v>
      </c>
      <c r="B20" s="4"/>
      <c r="C20" s="4"/>
      <c r="D20" s="4"/>
      <c r="E20" s="4"/>
      <c r="F20" s="4"/>
      <c r="G20" s="4"/>
      <c r="H20" s="4"/>
    </row>
    <row r="21" customFormat="false" ht="15" hidden="false" customHeight="true" outlineLevel="0" collapsed="false">
      <c r="A21" s="11" t="s">
        <v>12</v>
      </c>
      <c r="B21" s="12" t="s">
        <v>13</v>
      </c>
      <c r="C21" s="12" t="s">
        <v>14</v>
      </c>
      <c r="D21" s="12" t="s">
        <v>15</v>
      </c>
      <c r="E21" s="12"/>
      <c r="F21" s="12"/>
    </row>
    <row r="22" customFormat="false" ht="15" hidden="false" customHeight="true" outlineLevel="0" collapsed="false">
      <c r="A22" s="13" t="s">
        <v>4</v>
      </c>
      <c r="B22" s="14" t="n">
        <f aca="false">HAL_Data!F11/HAL_Data!F5</f>
        <v>0.275499410680287</v>
      </c>
      <c r="C22" s="14" t="n">
        <f aca="false">Dassault_Data!F7/Dassault_Data!F5</f>
        <v>0.142914870689655</v>
      </c>
      <c r="D22" s="14" t="n">
        <f aca="false">Lockheed_Data!F8/Lockheed_Data!F5</f>
        <v>0.0668505489819849</v>
      </c>
    </row>
    <row r="23" customFormat="false" ht="15" hidden="false" customHeight="true" outlineLevel="0" collapsed="false">
      <c r="A23" s="15" t="s">
        <v>6</v>
      </c>
      <c r="B23" s="16" t="n">
        <f aca="false">POWER(HAL_Data!F5/HAL_Data!B5,1/4)-1</f>
        <v>0.0767103764103108</v>
      </c>
      <c r="C23" s="16" t="n">
        <f aca="false">POWER(Dassault_Data!F5/Dassault_Data!B5,1/4)-1</f>
        <v>0.00650251563997317</v>
      </c>
      <c r="D23" s="16" t="n">
        <f aca="false">POWER(Lockheed_Data!F5/Lockheed_Data!B5,1/4)-1</f>
        <v>0.0285959296125704</v>
      </c>
    </row>
    <row r="24" customFormat="false" ht="15" hidden="false" customHeight="true" outlineLevel="0" collapsed="false">
      <c r="A24" s="13" t="s">
        <v>16</v>
      </c>
      <c r="B24" s="17" t="n">
        <f aca="false">(HAL_Data!F14-HAL_Data!F11)/HAL_Data!F6</f>
        <v>-0.931934493346981</v>
      </c>
      <c r="C24" s="17" t="s">
        <v>17</v>
      </c>
      <c r="D24" s="17" t="n">
        <f aca="false">Lockheed_Data!F11/(Lockheed_Data!F5*Lockheed_Data!F16)</f>
        <v>1.86642832783566</v>
      </c>
    </row>
    <row r="25" customFormat="false" ht="15" hidden="false" customHeight="true" outlineLevel="0" collapsed="false">
      <c r="A25" s="15" t="s">
        <v>18</v>
      </c>
      <c r="B25" s="18" t="n">
        <f aca="false">Comps!C10</f>
        <v>26.5654042988741</v>
      </c>
      <c r="C25" s="18" t="n">
        <f aca="false">Comps!D10</f>
        <v>7.08661417322835</v>
      </c>
      <c r="D25" s="18" t="n">
        <f aca="false">Comps!E10</f>
        <v>13.5455406813212</v>
      </c>
    </row>
    <row r="28" customFormat="false" ht="15" hidden="false" customHeight="true" outlineLevel="0" collapsed="false">
      <c r="A28" s="19" t="s">
        <v>19</v>
      </c>
    </row>
  </sheetData>
  <mergeCells count="18">
    <mergeCell ref="A1:H1"/>
    <mergeCell ref="A2:H2"/>
    <mergeCell ref="A4:H4"/>
    <mergeCell ref="B6:C8"/>
    <mergeCell ref="D6:E8"/>
    <mergeCell ref="F6:G8"/>
    <mergeCell ref="B9:C9"/>
    <mergeCell ref="D9:E9"/>
    <mergeCell ref="F9:G9"/>
    <mergeCell ref="B12:C14"/>
    <mergeCell ref="D12:E14"/>
    <mergeCell ref="F12:G14"/>
    <mergeCell ref="B15:C15"/>
    <mergeCell ref="D15:E15"/>
    <mergeCell ref="F15:G15"/>
    <mergeCell ref="A17:H17"/>
    <mergeCell ref="B18:C18"/>
    <mergeCell ref="A20:H20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B8F"/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11"/>
    <col collapsed="false" customWidth="true" hidden="false" outlineLevel="0" max="6" min="6" style="1" width="4"/>
  </cols>
  <sheetData>
    <row r="1" customFormat="false" ht="30" hidden="false" customHeight="true" outlineLevel="0" collapsed="false">
      <c r="A1" s="2" t="s">
        <v>20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3" t="s">
        <v>21</v>
      </c>
      <c r="B2" s="3"/>
      <c r="C2" s="3"/>
      <c r="D2" s="3"/>
      <c r="E2" s="3"/>
      <c r="F2" s="3"/>
    </row>
    <row r="4" customFormat="false" ht="19.5" hidden="false" customHeight="true" outlineLevel="0" collapsed="false">
      <c r="A4" s="4" t="s">
        <v>22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11" t="s">
        <v>23</v>
      </c>
      <c r="B5" s="12" t="s">
        <v>24</v>
      </c>
      <c r="C5" s="12" t="s">
        <v>25</v>
      </c>
      <c r="D5" s="12"/>
      <c r="E5" s="12"/>
      <c r="F5" s="12"/>
    </row>
    <row r="6" customFormat="false" ht="15" hidden="false" customHeight="true" outlineLevel="0" collapsed="false">
      <c r="A6" s="13" t="s">
        <v>26</v>
      </c>
      <c r="B6" s="20" t="n">
        <v>85</v>
      </c>
      <c r="C6" s="21" t="s">
        <v>27</v>
      </c>
      <c r="D6" s="21"/>
      <c r="E6" s="21"/>
      <c r="F6" s="21"/>
    </row>
    <row r="7" customFormat="false" ht="15" hidden="false" customHeight="true" outlineLevel="0" collapsed="false">
      <c r="A7" s="15" t="s">
        <v>28</v>
      </c>
      <c r="B7" s="20" t="n">
        <v>1.08</v>
      </c>
      <c r="C7" s="22" t="s">
        <v>29</v>
      </c>
      <c r="D7" s="22"/>
      <c r="E7" s="22"/>
      <c r="F7" s="22"/>
    </row>
    <row r="8" customFormat="false" ht="15" hidden="false" customHeight="true" outlineLevel="0" collapsed="false">
      <c r="A8" s="13" t="s">
        <v>30</v>
      </c>
      <c r="B8" s="20" t="n">
        <v>92</v>
      </c>
      <c r="C8" s="21" t="s">
        <v>31</v>
      </c>
      <c r="D8" s="21"/>
      <c r="E8" s="21"/>
      <c r="F8" s="21"/>
    </row>
    <row r="10" customFormat="false" ht="19.5" hidden="false" customHeight="true" outlineLevel="0" collapsed="false">
      <c r="A10" s="4" t="s">
        <v>32</v>
      </c>
      <c r="B10" s="4"/>
      <c r="C10" s="4"/>
      <c r="D10" s="4"/>
      <c r="E10" s="4"/>
      <c r="F10" s="4"/>
      <c r="G10" s="4"/>
      <c r="H10" s="4"/>
    </row>
    <row r="11" customFormat="false" ht="15" hidden="false" customHeight="true" outlineLevel="0" collapsed="false">
      <c r="A11" s="13" t="s">
        <v>33</v>
      </c>
      <c r="B11" s="23" t="s">
        <v>34</v>
      </c>
      <c r="C11" s="10" t="s">
        <v>35</v>
      </c>
      <c r="D11" s="10"/>
      <c r="E11" s="10"/>
      <c r="F11" s="10"/>
    </row>
    <row r="13" customFormat="false" ht="19.5" hidden="false" customHeight="true" outlineLevel="0" collapsed="false">
      <c r="A13" s="4" t="s">
        <v>36</v>
      </c>
      <c r="B13" s="4"/>
      <c r="C13" s="4"/>
      <c r="D13" s="4"/>
      <c r="E13" s="4"/>
      <c r="F13" s="4"/>
      <c r="G13" s="4"/>
      <c r="H13" s="4"/>
    </row>
    <row r="14" customFormat="false" ht="15" hidden="false" customHeight="true" outlineLevel="0" collapsed="false">
      <c r="A14" s="11" t="s">
        <v>37</v>
      </c>
      <c r="B14" s="12" t="s">
        <v>38</v>
      </c>
      <c r="C14" s="12" t="s">
        <v>34</v>
      </c>
      <c r="D14" s="12" t="s">
        <v>39</v>
      </c>
      <c r="E14" s="12" t="s">
        <v>40</v>
      </c>
      <c r="F14" s="12"/>
    </row>
    <row r="15" customFormat="false" ht="15" hidden="false" customHeight="true" outlineLevel="0" collapsed="false">
      <c r="A15" s="13" t="s">
        <v>41</v>
      </c>
      <c r="B15" s="24" t="n">
        <v>0.16</v>
      </c>
      <c r="C15" s="24" t="n">
        <v>0.13</v>
      </c>
      <c r="D15" s="24" t="n">
        <v>0.09</v>
      </c>
      <c r="E15" s="25" t="n">
        <f aca="false">IF($B$11="Bull",B15,IF($B$11="Base",C15,D15))</f>
        <v>0.13</v>
      </c>
      <c r="F15" s="26"/>
    </row>
    <row r="16" customFormat="false" ht="15" hidden="false" customHeight="true" outlineLevel="0" collapsed="false">
      <c r="A16" s="15" t="s">
        <v>42</v>
      </c>
      <c r="B16" s="24" t="n">
        <v>0.31</v>
      </c>
      <c r="C16" s="24" t="n">
        <v>0.295</v>
      </c>
      <c r="D16" s="24" t="n">
        <v>0.27</v>
      </c>
      <c r="E16" s="27" t="n">
        <f aca="false">IF($B$11="Bull",B16,IF($B$11="Base",C16,D16))</f>
        <v>0.295</v>
      </c>
      <c r="F16" s="28"/>
    </row>
    <row r="17" customFormat="false" ht="15" hidden="false" customHeight="true" outlineLevel="0" collapsed="false">
      <c r="A17" s="13" t="s">
        <v>43</v>
      </c>
      <c r="B17" s="24" t="n">
        <v>0.25</v>
      </c>
      <c r="C17" s="24" t="n">
        <v>0.25</v>
      </c>
      <c r="D17" s="24" t="n">
        <v>0.26</v>
      </c>
      <c r="E17" s="25" t="n">
        <f aca="false">IF($B$11="Bull",B17,IF($B$11="Base",C17,D17))</f>
        <v>0.25</v>
      </c>
      <c r="F17" s="26"/>
    </row>
    <row r="18" customFormat="false" ht="15" hidden="false" customHeight="true" outlineLevel="0" collapsed="false">
      <c r="A18" s="15" t="s">
        <v>44</v>
      </c>
      <c r="B18" s="24" t="n">
        <v>0.055</v>
      </c>
      <c r="C18" s="24" t="n">
        <v>0.06</v>
      </c>
      <c r="D18" s="24" t="n">
        <v>0.065</v>
      </c>
      <c r="E18" s="27" t="n">
        <f aca="false">IF($B$11="Bull",B18,IF($B$11="Base",C18,D18))</f>
        <v>0.06</v>
      </c>
      <c r="F18" s="28"/>
    </row>
    <row r="19" customFormat="false" ht="15" hidden="false" customHeight="true" outlineLevel="0" collapsed="false">
      <c r="A19" s="13" t="s">
        <v>45</v>
      </c>
      <c r="B19" s="24" t="n">
        <v>0.04</v>
      </c>
      <c r="C19" s="24" t="n">
        <v>0.04</v>
      </c>
      <c r="D19" s="24" t="n">
        <v>0.04</v>
      </c>
      <c r="E19" s="25" t="n">
        <f aca="false">IF($B$11="Bull",B19,IF($B$11="Base",C19,D19))</f>
        <v>0.04</v>
      </c>
      <c r="F19" s="26"/>
    </row>
    <row r="20" customFormat="false" ht="15" hidden="false" customHeight="true" outlineLevel="0" collapsed="false">
      <c r="A20" s="15" t="s">
        <v>46</v>
      </c>
      <c r="B20" s="24" t="n">
        <v>0.1</v>
      </c>
      <c r="C20" s="24" t="n">
        <v>0.12</v>
      </c>
      <c r="D20" s="24" t="n">
        <v>0.18</v>
      </c>
      <c r="E20" s="27" t="n">
        <f aca="false">IF($B$11="Bull",B20,IF($B$11="Base",C20,D20))</f>
        <v>0.12</v>
      </c>
      <c r="F20" s="28"/>
    </row>
    <row r="21" customFormat="false" ht="15" hidden="false" customHeight="true" outlineLevel="0" collapsed="false">
      <c r="A21" s="13" t="s">
        <v>47</v>
      </c>
      <c r="B21" s="24" t="n">
        <v>0.105</v>
      </c>
      <c r="C21" s="24" t="n">
        <v>0.11</v>
      </c>
      <c r="D21" s="24" t="n">
        <v>0.125</v>
      </c>
      <c r="E21" s="25" t="n">
        <f aca="false">IF($B$11="Bull",B21,IF($B$11="Base",C21,D21))</f>
        <v>0.11</v>
      </c>
      <c r="F21" s="26"/>
    </row>
    <row r="22" customFormat="false" ht="15" hidden="false" customHeight="true" outlineLevel="0" collapsed="false">
      <c r="A22" s="15" t="s">
        <v>48</v>
      </c>
      <c r="B22" s="24" t="n">
        <v>0.055</v>
      </c>
      <c r="C22" s="24" t="n">
        <v>0.055</v>
      </c>
      <c r="D22" s="24" t="n">
        <v>0.05</v>
      </c>
      <c r="E22" s="27" t="n">
        <f aca="false">IF($B$11="Bull",B22,IF($B$11="Base",C22,D22))</f>
        <v>0.055</v>
      </c>
      <c r="F22" s="28"/>
    </row>
  </sheetData>
  <mergeCells count="9">
    <mergeCell ref="A1:F1"/>
    <mergeCell ref="A2:F2"/>
    <mergeCell ref="A4:H4"/>
    <mergeCell ref="C6:F6"/>
    <mergeCell ref="C7:F7"/>
    <mergeCell ref="C8:F8"/>
    <mergeCell ref="A10:H10"/>
    <mergeCell ref="C11:F11"/>
    <mergeCell ref="A13:H13"/>
  </mergeCells>
  <dataValidations count="1">
    <dataValidation allowBlank="false" errorStyle="stop" operator="between" showDropDown="false" showErrorMessage="false" showInputMessage="false" sqref="B11" type="list">
      <formula1>"Bull,Base,Bear"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7C7C"/>
    <pageSetUpPr fitToPage="tru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6" min="2" style="1" width="12"/>
  </cols>
  <sheetData>
    <row r="1" customFormat="false" ht="30" hidden="false" customHeight="true" outlineLevel="0" collapsed="false">
      <c r="A1" s="2" t="s">
        <v>49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3" t="s">
        <v>50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11" t="s">
        <v>12</v>
      </c>
      <c r="B4" s="12" t="s">
        <v>51</v>
      </c>
      <c r="C4" s="12" t="s">
        <v>52</v>
      </c>
      <c r="D4" s="12" t="s">
        <v>53</v>
      </c>
      <c r="E4" s="12" t="s">
        <v>54</v>
      </c>
      <c r="F4" s="12" t="s">
        <v>55</v>
      </c>
    </row>
    <row r="5" customFormat="false" ht="15" hidden="false" customHeight="true" outlineLevel="0" collapsed="false">
      <c r="A5" s="13" t="s">
        <v>56</v>
      </c>
      <c r="B5" s="29" t="n">
        <v>24620</v>
      </c>
      <c r="C5" s="29" t="n">
        <v>26927</v>
      </c>
      <c r="D5" s="29" t="n">
        <v>30381</v>
      </c>
      <c r="E5" s="29" t="n">
        <v>30981</v>
      </c>
      <c r="F5" s="29" t="n">
        <v>33089</v>
      </c>
    </row>
    <row r="6" customFormat="false" ht="15" hidden="false" customHeight="true" outlineLevel="0" collapsed="false">
      <c r="A6" s="15" t="s">
        <v>57</v>
      </c>
      <c r="B6" s="30" t="n">
        <v>5415</v>
      </c>
      <c r="C6" s="30" t="n">
        <v>6686</v>
      </c>
      <c r="D6" s="30" t="n">
        <v>9752</v>
      </c>
      <c r="E6" s="30" t="n">
        <v>9621</v>
      </c>
      <c r="F6" s="30" t="n">
        <v>9770</v>
      </c>
    </row>
    <row r="7" customFormat="false" ht="15" hidden="false" customHeight="true" outlineLevel="0" collapsed="false">
      <c r="A7" s="13" t="s">
        <v>58</v>
      </c>
      <c r="B7" s="29" t="n">
        <v>985</v>
      </c>
      <c r="C7" s="29" t="n">
        <v>1673</v>
      </c>
      <c r="D7" s="29" t="n">
        <v>1923</v>
      </c>
      <c r="E7" s="29" t="n">
        <v>2608</v>
      </c>
      <c r="F7" s="29" t="n">
        <v>3743</v>
      </c>
    </row>
    <row r="8" customFormat="false" ht="15" hidden="false" customHeight="true" outlineLevel="0" collapsed="false">
      <c r="A8" s="15" t="s">
        <v>59</v>
      </c>
      <c r="B8" s="30" t="n">
        <v>65</v>
      </c>
      <c r="C8" s="30" t="n">
        <v>64</v>
      </c>
      <c r="D8" s="30" t="n">
        <v>43</v>
      </c>
      <c r="E8" s="30" t="n">
        <v>22</v>
      </c>
      <c r="F8" s="30" t="n">
        <v>6</v>
      </c>
    </row>
    <row r="9" customFormat="false" ht="15" hidden="false" customHeight="true" outlineLevel="0" collapsed="false">
      <c r="A9" s="13" t="s">
        <v>60</v>
      </c>
      <c r="B9" s="29" t="n">
        <v>1111</v>
      </c>
      <c r="C9" s="29" t="n">
        <v>1785</v>
      </c>
      <c r="D9" s="29" t="n">
        <v>1407</v>
      </c>
      <c r="E9" s="29" t="n">
        <v>1340</v>
      </c>
      <c r="F9" s="29" t="n">
        <v>1355</v>
      </c>
    </row>
    <row r="10" customFormat="false" ht="15" hidden="false" customHeight="true" outlineLevel="0" collapsed="false">
      <c r="A10" s="15" t="s">
        <v>61</v>
      </c>
      <c r="B10" s="30" t="n">
        <v>5225</v>
      </c>
      <c r="C10" s="30" t="n">
        <v>6510</v>
      </c>
      <c r="D10" s="30" t="n">
        <v>10225</v>
      </c>
      <c r="E10" s="30" t="n">
        <v>10867</v>
      </c>
      <c r="F10" s="30" t="n">
        <v>12152</v>
      </c>
    </row>
    <row r="11" customFormat="false" ht="15" hidden="false" customHeight="true" outlineLevel="0" collapsed="false">
      <c r="A11" s="13" t="s">
        <v>62</v>
      </c>
      <c r="B11" s="29" t="n">
        <v>5080</v>
      </c>
      <c r="C11" s="29" t="n">
        <v>5828</v>
      </c>
      <c r="D11" s="29" t="n">
        <v>7621</v>
      </c>
      <c r="E11" s="29" t="n">
        <v>8364</v>
      </c>
      <c r="F11" s="29" t="n">
        <v>9116</v>
      </c>
    </row>
    <row r="12" customFormat="false" ht="15" hidden="false" customHeight="true" outlineLevel="0" collapsed="false">
      <c r="A12" s="15" t="s">
        <v>63</v>
      </c>
      <c r="B12" s="30" t="n">
        <v>19205</v>
      </c>
      <c r="C12" s="30" t="n">
        <v>20242</v>
      </c>
      <c r="D12" s="30" t="n">
        <v>20630</v>
      </c>
      <c r="E12" s="30" t="n">
        <v>21360</v>
      </c>
      <c r="F12" s="30" t="n">
        <v>23319</v>
      </c>
    </row>
    <row r="13" customFormat="false" ht="15" hidden="false" customHeight="true" outlineLevel="0" collapsed="false">
      <c r="A13" s="13" t="s">
        <v>64</v>
      </c>
      <c r="B13" s="29" t="n">
        <v>19313</v>
      </c>
      <c r="C13" s="29" t="n">
        <v>23572</v>
      </c>
      <c r="D13" s="29" t="n">
        <v>29138</v>
      </c>
      <c r="E13" s="29" t="n">
        <v>34981</v>
      </c>
      <c r="F13" s="29" t="n">
        <v>41041</v>
      </c>
    </row>
    <row r="14" customFormat="false" ht="15" hidden="false" customHeight="true" outlineLevel="0" collapsed="false">
      <c r="A14" s="15" t="s">
        <v>65</v>
      </c>
      <c r="B14" s="30" t="n">
        <v>49</v>
      </c>
      <c r="C14" s="30" t="n">
        <v>52</v>
      </c>
      <c r="D14" s="30" t="n">
        <v>50</v>
      </c>
      <c r="E14" s="30" t="n">
        <v>51</v>
      </c>
      <c r="F14" s="30" t="n">
        <v>11</v>
      </c>
    </row>
    <row r="15" customFormat="false" ht="15" hidden="false" customHeight="true" outlineLevel="0" collapsed="false">
      <c r="A15" s="13" t="s">
        <v>66</v>
      </c>
      <c r="B15" s="29" t="n">
        <v>60254</v>
      </c>
      <c r="C15" s="29" t="n">
        <v>69276</v>
      </c>
      <c r="D15" s="29" t="n">
        <v>80911</v>
      </c>
      <c r="E15" s="29" t="n">
        <v>108698</v>
      </c>
      <c r="F15" s="29" t="n">
        <v>132415</v>
      </c>
    </row>
    <row r="16" customFormat="false" ht="15" hidden="false" customHeight="true" outlineLevel="0" collapsed="false">
      <c r="A16" s="15" t="s">
        <v>67</v>
      </c>
      <c r="B16" s="31" t="n">
        <v>607</v>
      </c>
      <c r="C16" s="31" t="n">
        <v>527</v>
      </c>
      <c r="D16" s="31" t="n">
        <v>544</v>
      </c>
      <c r="E16" s="31" t="n">
        <v>736</v>
      </c>
      <c r="F16" s="31" t="n">
        <v>780</v>
      </c>
    </row>
    <row r="17" customFormat="false" ht="15" hidden="false" customHeight="true" outlineLevel="0" collapsed="false">
      <c r="A17" s="13" t="s">
        <v>68</v>
      </c>
      <c r="B17" s="32" t="n">
        <v>69</v>
      </c>
      <c r="C17" s="32" t="n">
        <v>64</v>
      </c>
      <c r="D17" s="32" t="n">
        <v>55</v>
      </c>
      <c r="E17" s="32" t="n">
        <v>55</v>
      </c>
      <c r="F17" s="32" t="n">
        <v>45</v>
      </c>
    </row>
    <row r="18" customFormat="false" ht="15" hidden="false" customHeight="true" outlineLevel="0" collapsed="false">
      <c r="A18" s="15" t="s">
        <v>69</v>
      </c>
      <c r="B18" s="31" t="n">
        <v>96</v>
      </c>
      <c r="C18" s="31" t="n">
        <v>116</v>
      </c>
      <c r="D18" s="31" t="n">
        <v>116</v>
      </c>
      <c r="E18" s="31" t="n">
        <v>156</v>
      </c>
      <c r="F18" s="31" t="n">
        <v>112</v>
      </c>
    </row>
    <row r="19" customFormat="false" ht="15" hidden="false" customHeight="true" outlineLevel="0" collapsed="false">
      <c r="A19" s="13" t="s">
        <v>70</v>
      </c>
      <c r="B19" s="32" t="n">
        <v>580</v>
      </c>
      <c r="C19" s="32" t="n">
        <v>475</v>
      </c>
      <c r="D19" s="32" t="n">
        <v>484</v>
      </c>
      <c r="E19" s="32" t="n">
        <v>634</v>
      </c>
      <c r="F19" s="32" t="n">
        <v>713</v>
      </c>
    </row>
    <row r="20" customFormat="false" ht="15" hidden="false" customHeight="true" outlineLevel="0" collapsed="false">
      <c r="A20" s="15" t="s">
        <v>71</v>
      </c>
      <c r="B20" s="33" t="n">
        <v>0.3</v>
      </c>
      <c r="C20" s="33" t="n">
        <v>0.31</v>
      </c>
      <c r="D20" s="33" t="n">
        <v>0.39</v>
      </c>
      <c r="E20" s="33" t="n">
        <v>0.34</v>
      </c>
      <c r="F20" s="33" t="n">
        <v>0.32</v>
      </c>
    </row>
    <row r="21" customFormat="false" ht="15" hidden="false" customHeight="true" outlineLevel="0" collapsed="false">
      <c r="A21" s="13" t="s">
        <v>72</v>
      </c>
      <c r="B21" s="34" t="n">
        <v>75.96</v>
      </c>
      <c r="C21" s="34" t="n">
        <v>87.14</v>
      </c>
      <c r="D21" s="34" t="n">
        <v>113.96</v>
      </c>
      <c r="E21" s="34" t="n">
        <v>125.07</v>
      </c>
      <c r="F21" s="34" t="n">
        <v>136.3</v>
      </c>
    </row>
    <row r="22" customFormat="false" ht="15" hidden="false" customHeight="true" outlineLevel="0" collapsed="false">
      <c r="A22" s="15" t="s">
        <v>73</v>
      </c>
      <c r="B22" s="35" t="n">
        <v>0.26</v>
      </c>
      <c r="C22" s="35" t="n">
        <v>0.32</v>
      </c>
      <c r="D22" s="35" t="n">
        <v>0.31</v>
      </c>
      <c r="E22" s="35" t="n">
        <v>0.32</v>
      </c>
      <c r="F22" s="35" t="n">
        <v>0.26</v>
      </c>
    </row>
    <row r="23" customFormat="false" ht="15" hidden="false" customHeight="true" outlineLevel="0" collapsed="false">
      <c r="A23" s="13" t="s">
        <v>74</v>
      </c>
      <c r="B23" s="29" t="n">
        <v>84000</v>
      </c>
      <c r="C23" s="29" t="n">
        <v>94000</v>
      </c>
      <c r="D23" s="29" t="n">
        <v>131000</v>
      </c>
      <c r="E23" s="29" t="n">
        <v>184000</v>
      </c>
      <c r="F23" s="29" t="n">
        <v>220000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7C7C"/>
    <pageSetUpPr fitToPage="tru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6" min="2" style="1" width="12"/>
  </cols>
  <sheetData>
    <row r="1" customFormat="false" ht="30" hidden="false" customHeight="true" outlineLevel="0" collapsed="false">
      <c r="A1" s="2" t="s">
        <v>75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3" t="s">
        <v>76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11" t="s">
        <v>12</v>
      </c>
      <c r="B4" s="12" t="s">
        <v>77</v>
      </c>
      <c r="C4" s="12" t="s">
        <v>78</v>
      </c>
      <c r="D4" s="12" t="s">
        <v>79</v>
      </c>
      <c r="E4" s="12" t="s">
        <v>80</v>
      </c>
      <c r="F4" s="12" t="s">
        <v>81</v>
      </c>
    </row>
    <row r="5" customFormat="false" ht="15" hidden="false" customHeight="true" outlineLevel="0" collapsed="false">
      <c r="A5" s="13" t="s">
        <v>82</v>
      </c>
      <c r="B5" s="29" t="n">
        <v>7234</v>
      </c>
      <c r="C5" s="29" t="n">
        <v>6930</v>
      </c>
      <c r="D5" s="29" t="n">
        <v>4805</v>
      </c>
      <c r="E5" s="29" t="n">
        <v>6212</v>
      </c>
      <c r="F5" s="29" t="n">
        <v>7424</v>
      </c>
    </row>
    <row r="6" customFormat="false" ht="15" hidden="false" customHeight="true" outlineLevel="0" collapsed="false">
      <c r="A6" s="15" t="s">
        <v>83</v>
      </c>
      <c r="B6" s="30" t="n">
        <v>527</v>
      </c>
      <c r="C6" s="30" t="n">
        <v>572</v>
      </c>
      <c r="D6" s="30" t="n">
        <v>349</v>
      </c>
      <c r="E6" s="30" t="n">
        <v>519</v>
      </c>
      <c r="F6" s="30" t="n">
        <v>635</v>
      </c>
    </row>
    <row r="7" customFormat="false" ht="15" hidden="false" customHeight="true" outlineLevel="0" collapsed="false">
      <c r="A7" s="13" t="s">
        <v>84</v>
      </c>
      <c r="B7" s="29" t="n">
        <v>693</v>
      </c>
      <c r="C7" s="29" t="n">
        <v>830</v>
      </c>
      <c r="D7" s="29" t="n">
        <v>886</v>
      </c>
      <c r="E7" s="29" t="n">
        <v>1056</v>
      </c>
      <c r="F7" s="29" t="n">
        <v>1061</v>
      </c>
    </row>
    <row r="8" customFormat="false" ht="15" hidden="false" customHeight="true" outlineLevel="0" collapsed="false">
      <c r="A8" s="15" t="s">
        <v>85</v>
      </c>
      <c r="B8" s="30" t="n">
        <v>336</v>
      </c>
      <c r="C8" s="30" t="n">
        <v>386</v>
      </c>
      <c r="D8" s="30" t="n">
        <v>450</v>
      </c>
      <c r="E8" s="30" t="n">
        <v>507</v>
      </c>
      <c r="F8" s="30" t="n">
        <v>534</v>
      </c>
    </row>
    <row r="9" customFormat="false" ht="15" hidden="false" customHeight="true" outlineLevel="0" collapsed="false">
      <c r="A9" s="13" t="s">
        <v>86</v>
      </c>
      <c r="B9" s="29" t="n">
        <v>430</v>
      </c>
      <c r="C9" s="29" t="n">
        <v>572</v>
      </c>
      <c r="D9" s="29" t="n">
        <v>483</v>
      </c>
      <c r="E9" s="29" t="n">
        <v>437</v>
      </c>
      <c r="F9" s="29" t="n">
        <v>389</v>
      </c>
    </row>
    <row r="10" customFormat="false" ht="15" hidden="false" customHeight="true" outlineLevel="0" collapsed="false">
      <c r="A10" s="15" t="s">
        <v>87</v>
      </c>
      <c r="B10" s="30" t="n">
        <v>20760</v>
      </c>
      <c r="C10" s="30" t="n">
        <v>35000</v>
      </c>
      <c r="D10" s="30" t="n">
        <v>38508</v>
      </c>
      <c r="E10" s="30" t="n">
        <v>43224</v>
      </c>
      <c r="F10" s="30" t="n">
        <v>46600</v>
      </c>
    </row>
    <row r="11" customFormat="false" ht="15" hidden="false" customHeight="true" outlineLevel="0" collapsed="false">
      <c r="A11" s="13" t="s">
        <v>88</v>
      </c>
      <c r="B11" s="29" t="n">
        <v>12080</v>
      </c>
      <c r="C11" s="29" t="n">
        <v>20954</v>
      </c>
      <c r="D11" s="29" t="n">
        <v>5000</v>
      </c>
      <c r="E11" s="29" t="n">
        <v>10870</v>
      </c>
      <c r="F11" s="29" t="n">
        <v>10940</v>
      </c>
    </row>
    <row r="12" customFormat="false" ht="15" hidden="false" customHeight="true" outlineLevel="0" collapsed="false">
      <c r="A12" s="15" t="s">
        <v>89</v>
      </c>
      <c r="B12" s="30" t="n">
        <v>4870</v>
      </c>
      <c r="C12" s="30" t="n">
        <v>6500</v>
      </c>
      <c r="D12" s="30" t="n">
        <v>7294</v>
      </c>
      <c r="E12" s="30" t="n">
        <v>8434</v>
      </c>
      <c r="F12" s="30" t="n">
        <v>9400</v>
      </c>
    </row>
    <row r="13" customFormat="false" ht="15" hidden="false" customHeight="true" outlineLevel="0" collapsed="false">
      <c r="A13" s="13" t="s">
        <v>90</v>
      </c>
      <c r="B13" s="34" t="n">
        <v>8.34</v>
      </c>
      <c r="C13" s="34" t="n">
        <v>9.99</v>
      </c>
      <c r="D13" s="34" t="n">
        <v>10.95</v>
      </c>
      <c r="E13" s="34" t="n">
        <v>13.46</v>
      </c>
      <c r="F13" s="34" t="n">
        <v>13.6</v>
      </c>
    </row>
    <row r="14" customFormat="false" ht="15" hidden="false" customHeight="true" outlineLevel="0" collapsed="false">
      <c r="A14" s="15" t="s">
        <v>91</v>
      </c>
      <c r="B14" s="36" t="n">
        <v>2.49</v>
      </c>
      <c r="C14" s="36" t="n">
        <v>3.37</v>
      </c>
      <c r="D14" s="36" t="n">
        <v>3.37</v>
      </c>
      <c r="E14" s="36" t="n">
        <v>4.72</v>
      </c>
      <c r="F14" s="36" t="n">
        <v>4.78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7C7C"/>
    <pageSetUpPr fitToPage="tru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6" min="2" style="1" width="12"/>
  </cols>
  <sheetData>
    <row r="1" customFormat="false" ht="30" hidden="false" customHeight="true" outlineLevel="0" collapsed="false">
      <c r="A1" s="2" t="s">
        <v>92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3" t="s">
        <v>93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11" t="s">
        <v>12</v>
      </c>
      <c r="B4" s="12" t="s">
        <v>77</v>
      </c>
      <c r="C4" s="12" t="s">
        <v>78</v>
      </c>
      <c r="D4" s="12" t="s">
        <v>79</v>
      </c>
      <c r="E4" s="12" t="s">
        <v>80</v>
      </c>
      <c r="F4" s="12" t="s">
        <v>81</v>
      </c>
    </row>
    <row r="5" customFormat="false" ht="15" hidden="false" customHeight="true" outlineLevel="0" collapsed="false">
      <c r="A5" s="13" t="s">
        <v>56</v>
      </c>
      <c r="B5" s="29" t="n">
        <v>67044</v>
      </c>
      <c r="C5" s="29" t="n">
        <v>65984</v>
      </c>
      <c r="D5" s="29" t="n">
        <v>67571</v>
      </c>
      <c r="E5" s="29" t="n">
        <v>71043</v>
      </c>
      <c r="F5" s="29" t="n">
        <v>75048</v>
      </c>
    </row>
    <row r="6" customFormat="false" ht="15" hidden="false" customHeight="true" outlineLevel="0" collapsed="false">
      <c r="A6" s="15" t="s">
        <v>94</v>
      </c>
      <c r="B6" s="30" t="n">
        <v>9061</v>
      </c>
      <c r="C6" s="30" t="n">
        <v>8287</v>
      </c>
      <c r="D6" s="30" t="n">
        <v>8479</v>
      </c>
      <c r="E6" s="30" t="n">
        <v>7619</v>
      </c>
      <c r="F6" s="30" t="n">
        <v>7374</v>
      </c>
    </row>
    <row r="7" customFormat="false" ht="15" hidden="false" customHeight="true" outlineLevel="0" collapsed="false">
      <c r="A7" s="13" t="s">
        <v>95</v>
      </c>
      <c r="B7" s="29" t="n">
        <v>9123</v>
      </c>
      <c r="C7" s="29" t="n">
        <v>8348</v>
      </c>
      <c r="D7" s="29" t="n">
        <v>8507</v>
      </c>
      <c r="E7" s="29" t="n">
        <v>7013</v>
      </c>
      <c r="F7" s="29" t="n">
        <v>7422</v>
      </c>
    </row>
    <row r="8" customFormat="false" ht="15" hidden="false" customHeight="true" outlineLevel="0" collapsed="false">
      <c r="A8" s="15" t="s">
        <v>96</v>
      </c>
      <c r="B8" s="30" t="n">
        <v>6315</v>
      </c>
      <c r="C8" s="30" t="n">
        <v>5732</v>
      </c>
      <c r="D8" s="30" t="n">
        <v>6920</v>
      </c>
      <c r="E8" s="30" t="n">
        <v>5336</v>
      </c>
      <c r="F8" s="30" t="n">
        <v>5017</v>
      </c>
    </row>
    <row r="9" customFormat="false" ht="15" hidden="false" customHeight="true" outlineLevel="0" collapsed="false">
      <c r="A9" s="13" t="s">
        <v>64</v>
      </c>
      <c r="B9" s="29" t="n">
        <v>6142</v>
      </c>
      <c r="C9" s="29" t="n">
        <v>9266</v>
      </c>
      <c r="D9" s="29" t="n">
        <v>6835</v>
      </c>
      <c r="E9" s="29" t="n">
        <v>6333</v>
      </c>
      <c r="F9" s="29" t="n">
        <v>6700</v>
      </c>
    </row>
    <row r="10" customFormat="false" ht="15" hidden="false" customHeight="true" outlineLevel="0" collapsed="false">
      <c r="A10" s="15" t="s">
        <v>66</v>
      </c>
      <c r="B10" s="30" t="n">
        <v>50873</v>
      </c>
      <c r="C10" s="30" t="n">
        <v>52880</v>
      </c>
      <c r="D10" s="30" t="n">
        <v>52456</v>
      </c>
      <c r="E10" s="30" t="n">
        <v>53815</v>
      </c>
      <c r="F10" s="30" t="n">
        <v>55000</v>
      </c>
    </row>
    <row r="11" customFormat="false" ht="15" hidden="false" customHeight="true" outlineLevel="0" collapsed="false">
      <c r="A11" s="13" t="s">
        <v>97</v>
      </c>
      <c r="B11" s="29" t="n">
        <v>8072</v>
      </c>
      <c r="C11" s="29" t="n">
        <v>12882</v>
      </c>
      <c r="D11" s="29" t="n">
        <v>16017</v>
      </c>
      <c r="E11" s="29" t="n">
        <v>17787</v>
      </c>
      <c r="F11" s="29" t="n">
        <v>17579</v>
      </c>
    </row>
    <row r="12" customFormat="false" ht="15" hidden="false" customHeight="true" outlineLevel="0" collapsed="false">
      <c r="A12" s="15" t="s">
        <v>98</v>
      </c>
      <c r="B12" s="30" t="n">
        <v>1522</v>
      </c>
      <c r="C12" s="30" t="n">
        <v>1670</v>
      </c>
      <c r="D12" s="30" t="n">
        <v>1691</v>
      </c>
      <c r="E12" s="30" t="n">
        <v>1685</v>
      </c>
      <c r="F12" s="30" t="n">
        <v>1649</v>
      </c>
    </row>
    <row r="13" customFormat="false" ht="15" hidden="false" customHeight="true" outlineLevel="0" collapsed="false">
      <c r="A13" s="13" t="s">
        <v>99</v>
      </c>
      <c r="B13" s="29" t="n">
        <v>7699</v>
      </c>
      <c r="C13" s="29" t="n">
        <v>6132</v>
      </c>
      <c r="D13" s="29" t="n">
        <v>6229</v>
      </c>
      <c r="E13" s="29" t="n">
        <v>5287</v>
      </c>
      <c r="F13" s="29" t="n">
        <v>6908</v>
      </c>
    </row>
    <row r="14" customFormat="false" ht="15" hidden="false" customHeight="true" outlineLevel="0" collapsed="false">
      <c r="A14" s="15" t="s">
        <v>87</v>
      </c>
      <c r="B14" s="30" t="n">
        <v>135900</v>
      </c>
      <c r="C14" s="30" t="n">
        <v>150000</v>
      </c>
      <c r="D14" s="30" t="n">
        <v>160600</v>
      </c>
      <c r="E14" s="30" t="n">
        <v>176000</v>
      </c>
      <c r="F14" s="30" t="n">
        <v>194000</v>
      </c>
    </row>
    <row r="15" customFormat="false" ht="15" hidden="false" customHeight="true" outlineLevel="0" collapsed="false">
      <c r="A15" s="13" t="s">
        <v>100</v>
      </c>
      <c r="B15" s="34" t="n">
        <v>22.76</v>
      </c>
      <c r="C15" s="34" t="n">
        <v>21.66</v>
      </c>
      <c r="D15" s="34" t="n">
        <v>27.55</v>
      </c>
      <c r="E15" s="34" t="n">
        <v>22.31</v>
      </c>
      <c r="F15" s="34" t="n">
        <v>21.49</v>
      </c>
    </row>
    <row r="16" customFormat="false" ht="15" hidden="false" customHeight="true" outlineLevel="0" collapsed="false">
      <c r="A16" s="15" t="s">
        <v>42</v>
      </c>
      <c r="B16" s="33" t="n">
        <v>0.1564</v>
      </c>
      <c r="C16" s="33" t="n">
        <v>0.1478</v>
      </c>
      <c r="D16" s="33" t="n">
        <v>0.1471</v>
      </c>
      <c r="E16" s="33" t="n">
        <v>0.1207</v>
      </c>
      <c r="F16" s="33" t="n">
        <v>0.1255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54"/>
    <pageSetUpPr fitToPage="tru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6" min="2" style="1" width="12"/>
  </cols>
  <sheetData>
    <row r="1" customFormat="false" ht="30" hidden="false" customHeight="true" outlineLevel="0" collapsed="false">
      <c r="A1" s="2" t="s">
        <v>101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3" t="s">
        <v>102</v>
      </c>
      <c r="B2" s="3"/>
      <c r="C2" s="3"/>
      <c r="D2" s="3"/>
      <c r="E2" s="3"/>
      <c r="F2" s="3"/>
    </row>
    <row r="4" customFormat="false" ht="19.5" hidden="false" customHeight="true" outlineLevel="0" collapsed="false">
      <c r="A4" s="4" t="s">
        <v>103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11" t="s">
        <v>104</v>
      </c>
      <c r="B5" s="12" t="s">
        <v>51</v>
      </c>
      <c r="C5" s="12" t="s">
        <v>52</v>
      </c>
      <c r="D5" s="12" t="s">
        <v>53</v>
      </c>
      <c r="E5" s="12" t="s">
        <v>54</v>
      </c>
      <c r="F5" s="12" t="s">
        <v>55</v>
      </c>
    </row>
    <row r="6" customFormat="false" ht="15" hidden="false" customHeight="true" outlineLevel="0" collapsed="false">
      <c r="A6" s="13" t="s">
        <v>4</v>
      </c>
      <c r="B6" s="14" t="n">
        <f aca="false">HAL_Data!B11/HAL_Data!B5</f>
        <v>0.206336311941511</v>
      </c>
      <c r="C6" s="14" t="n">
        <f aca="false">HAL_Data!C11/HAL_Data!C5</f>
        <v>0.216437033460839</v>
      </c>
      <c r="D6" s="14" t="n">
        <f aca="false">HAL_Data!D11/HAL_Data!D5</f>
        <v>0.250847569204437</v>
      </c>
      <c r="E6" s="14" t="n">
        <f aca="false">HAL_Data!E11/HAL_Data!E5</f>
        <v>0.26997191827249</v>
      </c>
      <c r="F6" s="14" t="n">
        <f aca="false">HAL_Data!F11/HAL_Data!F5</f>
        <v>0.275499410680287</v>
      </c>
    </row>
    <row r="7" customFormat="false" ht="15" hidden="false" customHeight="true" outlineLevel="0" collapsed="false">
      <c r="A7" s="15" t="s">
        <v>42</v>
      </c>
      <c r="B7" s="16" t="n">
        <f aca="false">HAL_Data!B6/HAL_Data!B5</f>
        <v>0.219943135662063</v>
      </c>
      <c r="C7" s="16" t="n">
        <f aca="false">HAL_Data!C6/HAL_Data!C5</f>
        <v>0.248300961859843</v>
      </c>
      <c r="D7" s="16" t="n">
        <f aca="false">HAL_Data!D6/HAL_Data!D5</f>
        <v>0.320990092492018</v>
      </c>
      <c r="E7" s="16" t="n">
        <f aca="false">HAL_Data!E6/HAL_Data!E5</f>
        <v>0.310545172847875</v>
      </c>
      <c r="F7" s="16" t="n">
        <f aca="false">HAL_Data!F6/HAL_Data!F5</f>
        <v>0.295264287225362</v>
      </c>
    </row>
    <row r="8" customFormat="false" ht="15" hidden="false" customHeight="true" outlineLevel="0" collapsed="false">
      <c r="A8" s="13" t="s">
        <v>5</v>
      </c>
      <c r="B8" s="14" t="n">
        <f aca="false">HAL_Data!B11/HAL_Data!B13</f>
        <v>0.26303526122301</v>
      </c>
      <c r="C8" s="14" t="n">
        <f aca="false">HAL_Data!C11/HAL_Data!C13</f>
        <v>0.247242491091125</v>
      </c>
      <c r="D8" s="14" t="n">
        <f aca="false">HAL_Data!D11/HAL_Data!D13</f>
        <v>0.261548493376347</v>
      </c>
      <c r="E8" s="14" t="n">
        <f aca="false">HAL_Data!E11/HAL_Data!E13</f>
        <v>0.239101226380035</v>
      </c>
      <c r="F8" s="14" t="n">
        <f aca="false">HAL_Data!F11/HAL_Data!F13</f>
        <v>0.222119344070564</v>
      </c>
    </row>
    <row r="9" customFormat="false" ht="15" hidden="false" customHeight="true" outlineLevel="0" collapsed="false">
      <c r="A9" s="15" t="s">
        <v>105</v>
      </c>
      <c r="B9" s="16" t="n">
        <f aca="false">HAL_Data!B11/HAL_Data!B15</f>
        <v>0.0843097553689382</v>
      </c>
      <c r="C9" s="16" t="n">
        <f aca="false">HAL_Data!C11/HAL_Data!C15</f>
        <v>0.0841272590796235</v>
      </c>
      <c r="D9" s="16" t="n">
        <f aca="false">HAL_Data!D11/HAL_Data!D15</f>
        <v>0.0941899123728541</v>
      </c>
      <c r="E9" s="16" t="n">
        <f aca="false">HAL_Data!E11/HAL_Data!E15</f>
        <v>0.0769471379418205</v>
      </c>
      <c r="F9" s="16" t="n">
        <f aca="false">HAL_Data!F11/HAL_Data!F15</f>
        <v>0.0688441641807952</v>
      </c>
    </row>
    <row r="10" customFormat="false" ht="15" hidden="false" customHeight="true" outlineLevel="0" collapsed="false">
      <c r="A10" s="13" t="s">
        <v>16</v>
      </c>
      <c r="B10" s="17" t="n">
        <f aca="false">(HAL_Data!B14-HAL_Data!B11)/HAL_Data!B6</f>
        <v>-0.929085872576177</v>
      </c>
      <c r="C10" s="17" t="n">
        <f aca="false">(HAL_Data!C14-HAL_Data!C11)/HAL_Data!C6</f>
        <v>-0.863894705354472</v>
      </c>
      <c r="D10" s="17" t="n">
        <f aca="false">(HAL_Data!D14-HAL_Data!D11)/HAL_Data!D6</f>
        <v>-0.77635356849877</v>
      </c>
      <c r="E10" s="17" t="n">
        <f aca="false">(HAL_Data!E14-HAL_Data!E11)/HAL_Data!E6</f>
        <v>-0.864047396320549</v>
      </c>
      <c r="F10" s="17" t="n">
        <f aca="false">(HAL_Data!F14-HAL_Data!F11)/HAL_Data!F6</f>
        <v>-0.931934493346981</v>
      </c>
    </row>
    <row r="12" customFormat="false" ht="19.5" hidden="false" customHeight="true" outlineLevel="0" collapsed="false">
      <c r="A12" s="4" t="s">
        <v>106</v>
      </c>
      <c r="B12" s="4"/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A13" s="11" t="s">
        <v>104</v>
      </c>
      <c r="B13" s="12" t="s">
        <v>77</v>
      </c>
      <c r="C13" s="12" t="s">
        <v>78</v>
      </c>
      <c r="D13" s="12" t="s">
        <v>79</v>
      </c>
      <c r="E13" s="12" t="s">
        <v>80</v>
      </c>
      <c r="F13" s="12" t="s">
        <v>81</v>
      </c>
    </row>
    <row r="14" customFormat="false" ht="15" hidden="false" customHeight="true" outlineLevel="0" collapsed="false">
      <c r="A14" s="13" t="s">
        <v>107</v>
      </c>
      <c r="B14" s="14" t="n">
        <f aca="false">Dassault_Data!B7/Dassault_Data!B5</f>
        <v>0.0957976223389549</v>
      </c>
      <c r="C14" s="14" t="n">
        <f aca="false">Dassault_Data!C7/Dassault_Data!C5</f>
        <v>0.11976911976912</v>
      </c>
      <c r="D14" s="14" t="n">
        <f aca="false">Dassault_Data!D7/Dassault_Data!D5</f>
        <v>0.184391259105099</v>
      </c>
      <c r="E14" s="14" t="n">
        <f aca="false">Dassault_Data!E7/Dassault_Data!E5</f>
        <v>0.169993560849968</v>
      </c>
      <c r="F14" s="14" t="n">
        <f aca="false">Dassault_Data!F7/Dassault_Data!F5</f>
        <v>0.142914870689655</v>
      </c>
    </row>
    <row r="15" customFormat="false" ht="15" hidden="false" customHeight="true" outlineLevel="0" collapsed="false">
      <c r="A15" s="15" t="s">
        <v>108</v>
      </c>
      <c r="B15" s="16" t="n">
        <f aca="false">(Dassault_Data!B7-Dassault_Data!B8)/Dassault_Data!B5</f>
        <v>0.0493502902958253</v>
      </c>
      <c r="C15" s="16" t="n">
        <f aca="false">(Dassault_Data!C7-Dassault_Data!C8)/Dassault_Data!C5</f>
        <v>0.0640692640692641</v>
      </c>
      <c r="D15" s="16" t="n">
        <f aca="false">(Dassault_Data!D7-Dassault_Data!D8)/Dassault_Data!D5</f>
        <v>0.090738813735692</v>
      </c>
      <c r="E15" s="16" t="n">
        <f aca="false">(Dassault_Data!E7-Dassault_Data!E8)/Dassault_Data!E5</f>
        <v>0.0883773341918867</v>
      </c>
      <c r="F15" s="16" t="n">
        <f aca="false">(Dassault_Data!F7-Dassault_Data!F8)/Dassault_Data!F5</f>
        <v>0.0709859913793104</v>
      </c>
    </row>
    <row r="16" customFormat="false" ht="15" hidden="false" customHeight="true" outlineLevel="0" collapsed="false">
      <c r="A16" s="13" t="s">
        <v>109</v>
      </c>
      <c r="B16" s="14" t="n">
        <f aca="false">Dassault_Data!B6/Dassault_Data!B5</f>
        <v>0.0728504285319325</v>
      </c>
      <c r="C16" s="14" t="n">
        <f aca="false">Dassault_Data!C6/Dassault_Data!C5</f>
        <v>0.0825396825396825</v>
      </c>
      <c r="D16" s="14" t="n">
        <f aca="false">Dassault_Data!D6/Dassault_Data!D5</f>
        <v>0.0726326742976067</v>
      </c>
      <c r="E16" s="14" t="n">
        <f aca="false">Dassault_Data!E6/Dassault_Data!E5</f>
        <v>0.0835479716677399</v>
      </c>
      <c r="F16" s="14" t="n">
        <f aca="false">Dassault_Data!F6/Dassault_Data!F5</f>
        <v>0.0855334051724138</v>
      </c>
    </row>
    <row r="17" customFormat="false" ht="15" hidden="false" customHeight="true" outlineLevel="0" collapsed="false">
      <c r="A17" s="15" t="s">
        <v>110</v>
      </c>
      <c r="B17" s="16" t="n">
        <f aca="false">Dassault_Data!B9/Dassault_Data!B5</f>
        <v>0.0594415261266243</v>
      </c>
      <c r="C17" s="16" t="n">
        <f aca="false">Dassault_Data!C9/Dassault_Data!C5</f>
        <v>0.0825396825396825</v>
      </c>
      <c r="D17" s="16" t="n">
        <f aca="false">Dassault_Data!D9/Dassault_Data!D5</f>
        <v>0.100520291363163</v>
      </c>
      <c r="E17" s="16" t="n">
        <f aca="false">Dassault_Data!E9/Dassault_Data!E5</f>
        <v>0.0703477141017386</v>
      </c>
      <c r="F17" s="16" t="n">
        <f aca="false">Dassault_Data!F9/Dassault_Data!F5</f>
        <v>0.0523976293103448</v>
      </c>
    </row>
    <row r="19" customFormat="false" ht="19.5" hidden="false" customHeight="true" outlineLevel="0" collapsed="false">
      <c r="A19" s="4" t="s">
        <v>111</v>
      </c>
      <c r="B19" s="4"/>
      <c r="C19" s="4"/>
      <c r="D19" s="4"/>
      <c r="E19" s="4"/>
      <c r="F19" s="4"/>
      <c r="G19" s="4"/>
      <c r="H19" s="4"/>
    </row>
    <row r="20" customFormat="false" ht="15" hidden="false" customHeight="true" outlineLevel="0" collapsed="false">
      <c r="A20" s="11" t="s">
        <v>104</v>
      </c>
      <c r="B20" s="12" t="s">
        <v>77</v>
      </c>
      <c r="C20" s="12" t="s">
        <v>78</v>
      </c>
      <c r="D20" s="12" t="s">
        <v>79</v>
      </c>
      <c r="E20" s="12" t="s">
        <v>80</v>
      </c>
      <c r="F20" s="12" t="s">
        <v>81</v>
      </c>
    </row>
    <row r="21" customFormat="false" ht="15" hidden="false" customHeight="true" outlineLevel="0" collapsed="false">
      <c r="A21" s="15" t="s">
        <v>4</v>
      </c>
      <c r="B21" s="16" t="n">
        <f aca="false">Lockheed_Data!B8/Lockheed_Data!B5</f>
        <v>0.0941918739931985</v>
      </c>
      <c r="C21" s="16" t="n">
        <f aca="false">Lockheed_Data!C8/Lockheed_Data!C5</f>
        <v>0.0868695441319108</v>
      </c>
      <c r="D21" s="16" t="n">
        <f aca="false">Lockheed_Data!D8/Lockheed_Data!D5</f>
        <v>0.102410797531485</v>
      </c>
      <c r="E21" s="16" t="n">
        <f aca="false">Lockheed_Data!E8/Lockheed_Data!E5</f>
        <v>0.0751094407612291</v>
      </c>
      <c r="F21" s="16" t="n">
        <f aca="false">Lockheed_Data!F8/Lockheed_Data!F5</f>
        <v>0.0668505489819849</v>
      </c>
    </row>
    <row r="22" customFormat="false" ht="15" hidden="false" customHeight="true" outlineLevel="0" collapsed="false">
      <c r="A22" s="13" t="s">
        <v>112</v>
      </c>
      <c r="B22" s="14" t="n">
        <f aca="false">Lockheed_Data!B6/Lockheed_Data!B5</f>
        <v>0.135150050712965</v>
      </c>
      <c r="C22" s="14" t="n">
        <f aca="false">Lockheed_Data!C6/Lockheed_Data!C5</f>
        <v>0.125591052376334</v>
      </c>
      <c r="D22" s="14" t="n">
        <f aca="false">Lockheed_Data!D6/Lockheed_Data!D5</f>
        <v>0.125482825472466</v>
      </c>
      <c r="E22" s="14" t="n">
        <f aca="false">Lockheed_Data!E6/Lockheed_Data!E5</f>
        <v>0.107244908013457</v>
      </c>
      <c r="F22" s="14" t="n">
        <f aca="false">Lockheed_Data!F6/Lockheed_Data!F5</f>
        <v>0.0982571154461145</v>
      </c>
    </row>
    <row r="23" customFormat="false" ht="15" hidden="false" customHeight="true" outlineLevel="0" collapsed="false">
      <c r="A23" s="15" t="s">
        <v>113</v>
      </c>
      <c r="B23" s="16" t="n">
        <f aca="false">Lockheed_Data!B7/Lockheed_Data!B5</f>
        <v>0.136074816538393</v>
      </c>
      <c r="C23" s="16" t="n">
        <f aca="false">Lockheed_Data!C7/Lockheed_Data!C5</f>
        <v>0.126515518913676</v>
      </c>
      <c r="D23" s="16" t="n">
        <f aca="false">Lockheed_Data!D7/Lockheed_Data!D5</f>
        <v>0.125897204422015</v>
      </c>
      <c r="E23" s="16" t="n">
        <f aca="false">Lockheed_Data!E7/Lockheed_Data!E5</f>
        <v>0.0987148628295539</v>
      </c>
      <c r="F23" s="16" t="n">
        <f aca="false">Lockheed_Data!F7/Lockheed_Data!F5</f>
        <v>0.0988967061080908</v>
      </c>
    </row>
    <row r="24" customFormat="false" ht="15" hidden="false" customHeight="true" outlineLevel="0" collapsed="false">
      <c r="A24" s="13" t="s">
        <v>105</v>
      </c>
      <c r="B24" s="14" t="n">
        <f aca="false">Lockheed_Data!B8/Lockheed_Data!B10</f>
        <v>0.124132644035146</v>
      </c>
      <c r="C24" s="14" t="n">
        <f aca="false">Lockheed_Data!C8/Lockheed_Data!C10</f>
        <v>0.10839636913767</v>
      </c>
      <c r="D24" s="14" t="n">
        <f aca="false">Lockheed_Data!D8/Lockheed_Data!D10</f>
        <v>0.131920085404911</v>
      </c>
      <c r="E24" s="14" t="n">
        <f aca="false">Lockheed_Data!E8/Lockheed_Data!E10</f>
        <v>0.0991545108241197</v>
      </c>
      <c r="F24" s="14" t="n">
        <f aca="false">Lockheed_Data!F8/Lockheed_Data!F10</f>
        <v>0.0912181818181818</v>
      </c>
    </row>
    <row r="25" customFormat="false" ht="15" hidden="false" customHeight="true" outlineLevel="0" collapsed="false">
      <c r="A25" s="15" t="s">
        <v>16</v>
      </c>
      <c r="B25" s="18" t="n">
        <f aca="false">Lockheed_Data!B11/(Lockheed_Data!B5*Lockheed_Data!B16)</f>
        <v>0.769811663936086</v>
      </c>
      <c r="C25" s="18" t="n">
        <f aca="false">Lockheed_Data!C11/(Lockheed_Data!C5*Lockheed_Data!C16)</f>
        <v>1.32090085561399</v>
      </c>
      <c r="D25" s="18" t="n">
        <f aca="false">Lockheed_Data!D11/(Lockheed_Data!D5*Lockheed_Data!D16)</f>
        <v>1.61141780007093</v>
      </c>
      <c r="E25" s="18" t="n">
        <f aca="false">Lockheed_Data!E11/(Lockheed_Data!E5*Lockheed_Data!E16)</f>
        <v>2.07431229934947</v>
      </c>
      <c r="F25" s="18" t="n">
        <f aca="false">Lockheed_Data!F11/(Lockheed_Data!F5*Lockheed_Data!F16)</f>
        <v>1.86642832783566</v>
      </c>
    </row>
  </sheetData>
  <mergeCells count="5">
    <mergeCell ref="A1:F1"/>
    <mergeCell ref="A2:F2"/>
    <mergeCell ref="A4:H4"/>
    <mergeCell ref="A12:H12"/>
    <mergeCell ref="A19:H19"/>
  </mergeCells>
  <conditionalFormatting sqref="B6:F10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14:F1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1:F2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54"/>
    <pageSetUpPr fitToPage="tru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6" min="2" style="1" width="12"/>
  </cols>
  <sheetData>
    <row r="1" customFormat="false" ht="30" hidden="false" customHeight="true" outlineLevel="0" collapsed="false">
      <c r="A1" s="2" t="s">
        <v>114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3" t="s">
        <v>115</v>
      </c>
      <c r="B2" s="3"/>
      <c r="C2" s="3"/>
      <c r="D2" s="3"/>
      <c r="E2" s="3"/>
      <c r="F2" s="3"/>
    </row>
    <row r="4" customFormat="false" ht="19.5" hidden="false" customHeight="true" outlineLevel="0" collapsed="false">
      <c r="A4" s="4" t="s">
        <v>103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11" t="s">
        <v>116</v>
      </c>
      <c r="B5" s="12" t="s">
        <v>51</v>
      </c>
      <c r="C5" s="12" t="s">
        <v>52</v>
      </c>
      <c r="D5" s="12" t="s">
        <v>53</v>
      </c>
      <c r="E5" s="12" t="s">
        <v>54</v>
      </c>
      <c r="F5" s="12" t="s">
        <v>55</v>
      </c>
    </row>
    <row r="6" customFormat="false" ht="15" hidden="false" customHeight="true" outlineLevel="0" collapsed="false">
      <c r="A6" s="13" t="s">
        <v>57</v>
      </c>
      <c r="B6" s="14" t="n">
        <f aca="false">HAL_Data!B6/HAL_Data!B5</f>
        <v>0.219943135662063</v>
      </c>
      <c r="C6" s="14" t="n">
        <f aca="false">HAL_Data!C6/HAL_Data!C5</f>
        <v>0.248300961859843</v>
      </c>
      <c r="D6" s="14" t="n">
        <f aca="false">HAL_Data!D6/HAL_Data!D5</f>
        <v>0.320990092492018</v>
      </c>
      <c r="E6" s="14" t="n">
        <f aca="false">HAL_Data!E6/HAL_Data!E5</f>
        <v>0.310545172847875</v>
      </c>
      <c r="F6" s="14" t="n">
        <f aca="false">HAL_Data!F6/HAL_Data!F5</f>
        <v>0.295264287225362</v>
      </c>
    </row>
    <row r="7" customFormat="false" ht="15" hidden="false" customHeight="true" outlineLevel="0" collapsed="false">
      <c r="A7" s="15" t="s">
        <v>60</v>
      </c>
      <c r="B7" s="16" t="n">
        <f aca="false">HAL_Data!B9/HAL_Data!B5</f>
        <v>0.0451259138911454</v>
      </c>
      <c r="C7" s="16" t="n">
        <f aca="false">HAL_Data!C9/HAL_Data!C5</f>
        <v>0.0662903405503769</v>
      </c>
      <c r="D7" s="16" t="n">
        <f aca="false">HAL_Data!D9/HAL_Data!D5</f>
        <v>0.046311839636615</v>
      </c>
      <c r="E7" s="16" t="n">
        <f aca="false">HAL_Data!E9/HAL_Data!E5</f>
        <v>0.0432523159355734</v>
      </c>
      <c r="F7" s="16" t="n">
        <f aca="false">HAL_Data!F9/HAL_Data!F5</f>
        <v>0.0409501647073045</v>
      </c>
    </row>
    <row r="8" customFormat="false" ht="15" hidden="false" customHeight="true" outlineLevel="0" collapsed="false">
      <c r="A8" s="13" t="s">
        <v>62</v>
      </c>
      <c r="B8" s="14" t="n">
        <f aca="false">HAL_Data!B11/HAL_Data!B5</f>
        <v>0.206336311941511</v>
      </c>
      <c r="C8" s="14" t="n">
        <f aca="false">HAL_Data!C11/HAL_Data!C5</f>
        <v>0.216437033460839</v>
      </c>
      <c r="D8" s="14" t="n">
        <f aca="false">HAL_Data!D11/HAL_Data!D5</f>
        <v>0.250847569204437</v>
      </c>
      <c r="E8" s="14" t="n">
        <f aca="false">HAL_Data!E11/HAL_Data!E5</f>
        <v>0.26997191827249</v>
      </c>
      <c r="F8" s="14" t="n">
        <f aca="false">HAL_Data!F11/HAL_Data!F5</f>
        <v>0.275499410680287</v>
      </c>
    </row>
    <row r="10" customFormat="false" ht="19.5" hidden="false" customHeight="true" outlineLevel="0" collapsed="false">
      <c r="A10" s="4" t="s">
        <v>117</v>
      </c>
      <c r="B10" s="4"/>
      <c r="C10" s="4"/>
      <c r="D10" s="4"/>
      <c r="E10" s="4"/>
      <c r="F10" s="4"/>
      <c r="G10" s="4"/>
      <c r="H10" s="4"/>
    </row>
    <row r="11" customFormat="false" ht="15" hidden="false" customHeight="true" outlineLevel="0" collapsed="false">
      <c r="A11" s="11" t="s">
        <v>116</v>
      </c>
      <c r="B11" s="12" t="s">
        <v>77</v>
      </c>
      <c r="C11" s="12" t="s">
        <v>78</v>
      </c>
      <c r="D11" s="12" t="s">
        <v>79</v>
      </c>
      <c r="E11" s="12" t="s">
        <v>80</v>
      </c>
      <c r="F11" s="12" t="s">
        <v>81</v>
      </c>
    </row>
    <row r="12" customFormat="false" ht="15" hidden="false" customHeight="true" outlineLevel="0" collapsed="false">
      <c r="A12" s="13" t="s">
        <v>118</v>
      </c>
      <c r="B12" s="14" t="n">
        <f aca="false">Dassault_Data!B6/Dassault_Data!B5</f>
        <v>0.0728504285319325</v>
      </c>
      <c r="C12" s="14" t="n">
        <f aca="false">Dassault_Data!C6/Dassault_Data!C5</f>
        <v>0.0825396825396825</v>
      </c>
      <c r="D12" s="14" t="n">
        <f aca="false">Dassault_Data!D6/Dassault_Data!D5</f>
        <v>0.0726326742976067</v>
      </c>
      <c r="E12" s="14" t="n">
        <f aca="false">Dassault_Data!E6/Dassault_Data!E5</f>
        <v>0.0835479716677399</v>
      </c>
      <c r="F12" s="14" t="n">
        <f aca="false">Dassault_Data!F6/Dassault_Data!F5</f>
        <v>0.0855334051724138</v>
      </c>
    </row>
    <row r="13" customFormat="false" ht="15" hidden="false" customHeight="true" outlineLevel="0" collapsed="false">
      <c r="A13" s="15" t="s">
        <v>96</v>
      </c>
      <c r="B13" s="16" t="n">
        <f aca="false">Dassault_Data!B7/Dassault_Data!B5</f>
        <v>0.0957976223389549</v>
      </c>
      <c r="C13" s="16" t="n">
        <f aca="false">Dassault_Data!C7/Dassault_Data!C5</f>
        <v>0.11976911976912</v>
      </c>
      <c r="D13" s="16" t="n">
        <f aca="false">Dassault_Data!D7/Dassault_Data!D5</f>
        <v>0.184391259105099</v>
      </c>
      <c r="E13" s="16" t="n">
        <f aca="false">Dassault_Data!E7/Dassault_Data!E5</f>
        <v>0.169993560849968</v>
      </c>
      <c r="F13" s="16" t="n">
        <f aca="false">Dassault_Data!F7/Dassault_Data!F5</f>
        <v>0.142914870689655</v>
      </c>
    </row>
    <row r="14" customFormat="false" ht="15" hidden="false" customHeight="true" outlineLevel="0" collapsed="false">
      <c r="A14" s="13" t="s">
        <v>119</v>
      </c>
      <c r="B14" s="14" t="n">
        <f aca="false">Dassault_Data!B8/Dassault_Data!B5</f>
        <v>0.0464473320431297</v>
      </c>
      <c r="C14" s="14" t="n">
        <f aca="false">Dassault_Data!C8/Dassault_Data!C5</f>
        <v>0.0556998556998557</v>
      </c>
      <c r="D14" s="14" t="n">
        <f aca="false">Dassault_Data!D8/Dassault_Data!D5</f>
        <v>0.0936524453694069</v>
      </c>
      <c r="E14" s="14" t="n">
        <f aca="false">Dassault_Data!E8/Dassault_Data!E5</f>
        <v>0.0816162266580811</v>
      </c>
      <c r="F14" s="14" t="n">
        <f aca="false">Dassault_Data!F8/Dassault_Data!F5</f>
        <v>0.0719288793103448</v>
      </c>
    </row>
    <row r="16" customFormat="false" ht="19.5" hidden="false" customHeight="true" outlineLevel="0" collapsed="false">
      <c r="A16" s="4" t="s">
        <v>111</v>
      </c>
      <c r="B16" s="4"/>
      <c r="C16" s="4"/>
      <c r="D16" s="4"/>
      <c r="E16" s="4"/>
      <c r="F16" s="4"/>
      <c r="G16" s="4"/>
      <c r="H16" s="4"/>
    </row>
    <row r="17" customFormat="false" ht="15" hidden="false" customHeight="true" outlineLevel="0" collapsed="false">
      <c r="A17" s="11" t="s">
        <v>116</v>
      </c>
      <c r="B17" s="12" t="s">
        <v>77</v>
      </c>
      <c r="C17" s="12" t="s">
        <v>78</v>
      </c>
      <c r="D17" s="12" t="s">
        <v>79</v>
      </c>
      <c r="E17" s="12" t="s">
        <v>80</v>
      </c>
      <c r="F17" s="12" t="s">
        <v>81</v>
      </c>
    </row>
    <row r="18" customFormat="false" ht="15" hidden="false" customHeight="true" outlineLevel="0" collapsed="false">
      <c r="A18" s="13" t="s">
        <v>94</v>
      </c>
      <c r="B18" s="14" t="n">
        <f aca="false">Lockheed_Data!B6/Lockheed_Data!B5</f>
        <v>0.135150050712965</v>
      </c>
      <c r="C18" s="14" t="n">
        <f aca="false">Lockheed_Data!C6/Lockheed_Data!C5</f>
        <v>0.125591052376334</v>
      </c>
      <c r="D18" s="14" t="n">
        <f aca="false">Lockheed_Data!D6/Lockheed_Data!D5</f>
        <v>0.125482825472466</v>
      </c>
      <c r="E18" s="14" t="n">
        <f aca="false">Lockheed_Data!E6/Lockheed_Data!E5</f>
        <v>0.107244908013457</v>
      </c>
      <c r="F18" s="14" t="n">
        <f aca="false">Lockheed_Data!F6/Lockheed_Data!F5</f>
        <v>0.0982571154461145</v>
      </c>
    </row>
    <row r="19" customFormat="false" ht="15" hidden="false" customHeight="true" outlineLevel="0" collapsed="false">
      <c r="A19" s="15" t="s">
        <v>95</v>
      </c>
      <c r="B19" s="16" t="n">
        <f aca="false">Lockheed_Data!B7/Lockheed_Data!B5</f>
        <v>0.136074816538393</v>
      </c>
      <c r="C19" s="16" t="n">
        <f aca="false">Lockheed_Data!C7/Lockheed_Data!C5</f>
        <v>0.126515518913676</v>
      </c>
      <c r="D19" s="16" t="n">
        <f aca="false">Lockheed_Data!D7/Lockheed_Data!D5</f>
        <v>0.125897204422015</v>
      </c>
      <c r="E19" s="16" t="n">
        <f aca="false">Lockheed_Data!E7/Lockheed_Data!E5</f>
        <v>0.0987148628295539</v>
      </c>
      <c r="F19" s="16" t="n">
        <f aca="false">Lockheed_Data!F7/Lockheed_Data!F5</f>
        <v>0.0988967061080908</v>
      </c>
    </row>
    <row r="20" customFormat="false" ht="15" hidden="false" customHeight="true" outlineLevel="0" collapsed="false">
      <c r="A20" s="13" t="s">
        <v>96</v>
      </c>
      <c r="B20" s="14" t="n">
        <f aca="false">Lockheed_Data!B8/Lockheed_Data!B5</f>
        <v>0.0941918739931985</v>
      </c>
      <c r="C20" s="14" t="n">
        <f aca="false">Lockheed_Data!C8/Lockheed_Data!C5</f>
        <v>0.0868695441319108</v>
      </c>
      <c r="D20" s="14" t="n">
        <f aca="false">Lockheed_Data!D8/Lockheed_Data!D5</f>
        <v>0.102410797531485</v>
      </c>
      <c r="E20" s="14" t="n">
        <f aca="false">Lockheed_Data!E8/Lockheed_Data!E5</f>
        <v>0.0751094407612291</v>
      </c>
      <c r="F20" s="14" t="n">
        <f aca="false">Lockheed_Data!F8/Lockheed_Data!F5</f>
        <v>0.0668505489819849</v>
      </c>
    </row>
  </sheetData>
  <mergeCells count="5">
    <mergeCell ref="A1:F1"/>
    <mergeCell ref="A2:F2"/>
    <mergeCell ref="A4:H4"/>
    <mergeCell ref="A10:H10"/>
    <mergeCell ref="A16:H16"/>
  </mergeCells>
  <conditionalFormatting sqref="B6:F8">
    <cfRule type="colorScale" priority="2">
      <colorScale>
        <cfvo type="min" val="0"/>
        <cfvo type="max" val="0"/>
        <color rgb="FFFCE4D6"/>
        <color rgb="FF1F6F54"/>
      </colorScale>
    </cfRule>
  </conditionalFormatting>
  <conditionalFormatting sqref="B12:F14">
    <cfRule type="colorScale" priority="3">
      <colorScale>
        <cfvo type="min" val="0"/>
        <cfvo type="max" val="0"/>
        <color rgb="FFFCE4D6"/>
        <color rgb="FF1F6F54"/>
      </colorScale>
    </cfRule>
  </conditionalFormatting>
  <conditionalFormatting sqref="B18:F20">
    <cfRule type="colorScale" priority="4">
      <colorScale>
        <cfvo type="min" val="0"/>
        <cfvo type="max" val="0"/>
        <color rgb="FFFCE4D6"/>
        <color rgb="FF1F6F54"/>
      </colorScale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54"/>
    <pageSetUpPr fitToPage="tru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8" min="2" style="1" width="15"/>
  </cols>
  <sheetData>
    <row r="1" customFormat="false" ht="30" hidden="false" customHeight="true" outlineLevel="0" collapsed="false">
      <c r="A1" s="2" t="s">
        <v>120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3" t="s">
        <v>121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11" t="s">
        <v>122</v>
      </c>
      <c r="B4" s="12" t="s">
        <v>4</v>
      </c>
      <c r="C4" s="12" t="s">
        <v>123</v>
      </c>
      <c r="D4" s="12" t="s">
        <v>124</v>
      </c>
      <c r="E4" s="12" t="s">
        <v>125</v>
      </c>
      <c r="F4" s="12"/>
    </row>
    <row r="5" customFormat="false" ht="15" hidden="false" customHeight="true" outlineLevel="0" collapsed="false">
      <c r="A5" s="13" t="s">
        <v>13</v>
      </c>
      <c r="B5" s="14" t="n">
        <f aca="false">HAL_Data!F11/HAL_Data!F5</f>
        <v>0.275499410680287</v>
      </c>
      <c r="C5" s="37" t="n">
        <f aca="false">HAL_Data!F5/HAL_Data!F15</f>
        <v>0.249888607786127</v>
      </c>
      <c r="D5" s="37" t="n">
        <f aca="false">HAL_Data!F15/HAL_Data!F13</f>
        <v>3.22640773860286</v>
      </c>
      <c r="E5" s="38" t="n">
        <f aca="false">B5*C5*D5</f>
        <v>0.222119344070564</v>
      </c>
      <c r="F5" s="26"/>
      <c r="G5" s="19" t="s">
        <v>126</v>
      </c>
    </row>
    <row r="6" customFormat="false" ht="15" hidden="false" customHeight="true" outlineLevel="0" collapsed="false">
      <c r="A6" s="15" t="s">
        <v>127</v>
      </c>
      <c r="B6" s="16" t="n">
        <f aca="false">Dassault_Data!F7/Dassault_Data!F5</f>
        <v>0.142914870689655</v>
      </c>
      <c r="C6" s="39" t="n">
        <f aca="false">Dassault_Data!F5/H6</f>
        <v>0.35352380952381</v>
      </c>
      <c r="D6" s="40" t="n">
        <f aca="false">H6/H7</f>
        <v>4.77272727272727</v>
      </c>
      <c r="E6" s="41" t="n">
        <f aca="false">B6*C6*D6</f>
        <v>0.241136363636364</v>
      </c>
      <c r="F6" s="26"/>
      <c r="G6" s="42" t="s">
        <v>128</v>
      </c>
      <c r="H6" s="43" t="n">
        <v>21000</v>
      </c>
    </row>
    <row r="7" customFormat="false" ht="15" hidden="false" customHeight="true" outlineLevel="0" collapsed="false">
      <c r="A7" s="13" t="s">
        <v>129</v>
      </c>
      <c r="B7" s="14" t="n">
        <f aca="false">Lockheed_Data!F8/Lockheed_Data!F5</f>
        <v>0.0668505489819849</v>
      </c>
      <c r="C7" s="37" t="n">
        <f aca="false">Lockheed_Data!F5/Lockheed_Data!F10</f>
        <v>1.36450909090909</v>
      </c>
      <c r="D7" s="37" t="n">
        <f aca="false">Lockheed_Data!F10/Lockheed_Data!F9</f>
        <v>8.2089552238806</v>
      </c>
      <c r="E7" s="38" t="n">
        <f aca="false">B7*C7*D7</f>
        <v>0.748805970149254</v>
      </c>
      <c r="F7" s="26"/>
      <c r="G7" s="42" t="s">
        <v>130</v>
      </c>
      <c r="H7" s="43" t="n">
        <v>4400</v>
      </c>
    </row>
    <row r="9" customFormat="false" ht="15" hidden="false" customHeight="true" outlineLevel="0" collapsed="false">
      <c r="A9" s="44" t="s">
        <v>131</v>
      </c>
      <c r="B9" s="44"/>
      <c r="C9" s="44"/>
      <c r="D9" s="44"/>
      <c r="E9" s="44"/>
      <c r="F9" s="44"/>
    </row>
    <row r="10" customFormat="false" ht="15" hidden="false" customHeight="true" outlineLevel="0" collapsed="false">
      <c r="A10" s="44"/>
      <c r="B10" s="44"/>
      <c r="C10" s="44"/>
      <c r="D10" s="44"/>
      <c r="E10" s="44"/>
      <c r="F10" s="44"/>
    </row>
  </sheetData>
  <mergeCells count="3">
    <mergeCell ref="A1:F1"/>
    <mergeCell ref="A2:F2"/>
    <mergeCell ref="A9:F10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61F"/>
    <pageSetUpPr fitToPage="tru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7" min="2" style="1" width="12"/>
  </cols>
  <sheetData>
    <row r="1" customFormat="false" ht="30" hidden="false" customHeight="true" outlineLevel="0" collapsed="false">
      <c r="A1" s="2" t="s">
        <v>132</v>
      </c>
      <c r="B1" s="2"/>
      <c r="C1" s="2"/>
      <c r="D1" s="2"/>
      <c r="E1" s="2"/>
      <c r="F1" s="2"/>
      <c r="G1" s="2"/>
    </row>
    <row r="2" customFormat="false" ht="15.75" hidden="false" customHeight="true" outlineLevel="0" collapsed="false">
      <c r="A2" s="3" t="s">
        <v>133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11" t="s">
        <v>134</v>
      </c>
      <c r="B4" s="12" t="s">
        <v>135</v>
      </c>
      <c r="C4" s="12" t="s">
        <v>136</v>
      </c>
      <c r="D4" s="12" t="s">
        <v>137</v>
      </c>
      <c r="E4" s="12" t="s">
        <v>138</v>
      </c>
      <c r="F4" s="12" t="s">
        <v>139</v>
      </c>
      <c r="G4" s="12" t="s">
        <v>140</v>
      </c>
    </row>
    <row r="5" customFormat="false" ht="15" hidden="false" customHeight="true" outlineLevel="0" collapsed="false">
      <c r="A5" s="13" t="s">
        <v>56</v>
      </c>
      <c r="B5" s="45" t="n">
        <f aca="false">HAL_Data!F5</f>
        <v>33089</v>
      </c>
      <c r="C5" s="46" t="n">
        <f aca="false">B5*(1+Assumptions!$E$15)</f>
        <v>37390.57</v>
      </c>
      <c r="D5" s="46" t="n">
        <f aca="false">C5*(1+Assumptions!$E$15)</f>
        <v>42251.3441</v>
      </c>
      <c r="E5" s="46" t="n">
        <f aca="false">D5*(1+Assumptions!$E$15)</f>
        <v>47744.018833</v>
      </c>
      <c r="F5" s="46" t="n">
        <f aca="false">E5*(1+Assumptions!$E$15)</f>
        <v>53950.74128129</v>
      </c>
      <c r="G5" s="46" t="n">
        <f aca="false">F5*(1+Assumptions!$E$15)</f>
        <v>60964.3376478577</v>
      </c>
    </row>
    <row r="6" customFormat="false" ht="15" hidden="false" customHeight="true" outlineLevel="0" collapsed="false">
      <c r="A6" s="47" t="s">
        <v>141</v>
      </c>
      <c r="B6" s="48"/>
      <c r="C6" s="49" t="n">
        <f aca="false">C5/B5-1</f>
        <v>0.13</v>
      </c>
      <c r="D6" s="49" t="n">
        <f aca="false">D5/C5-1</f>
        <v>0.13</v>
      </c>
      <c r="E6" s="49" t="n">
        <f aca="false">E5/D5-1</f>
        <v>0.13</v>
      </c>
      <c r="F6" s="49" t="n">
        <f aca="false">F5/E5-1</f>
        <v>0.13</v>
      </c>
      <c r="G6" s="49" t="n">
        <f aca="false">G5/F5-1</f>
        <v>0.13</v>
      </c>
    </row>
    <row r="7" customFormat="false" ht="15" hidden="false" customHeight="true" outlineLevel="0" collapsed="false">
      <c r="A7" s="15" t="s">
        <v>57</v>
      </c>
      <c r="B7" s="50" t="n">
        <f aca="false">HAL_Data!F6</f>
        <v>9770</v>
      </c>
      <c r="C7" s="50" t="n">
        <f aca="false">C5*Assumptions!$E$16</f>
        <v>11030.21815</v>
      </c>
      <c r="D7" s="50" t="n">
        <f aca="false">D5*Assumptions!$E$16</f>
        <v>12464.1465095</v>
      </c>
      <c r="E7" s="50" t="n">
        <f aca="false">E5*Assumptions!$E$16</f>
        <v>14084.485555735</v>
      </c>
      <c r="F7" s="50" t="n">
        <f aca="false">F5*Assumptions!$E$16</f>
        <v>15915.4686779805</v>
      </c>
      <c r="G7" s="50" t="n">
        <f aca="false">G5*Assumptions!$E$16</f>
        <v>17984.479606118</v>
      </c>
    </row>
    <row r="8" customFormat="false" ht="15" hidden="false" customHeight="true" outlineLevel="0" collapsed="false">
      <c r="A8" s="13" t="s">
        <v>142</v>
      </c>
      <c r="B8" s="46" t="n">
        <f aca="false">HAL_Data!F9</f>
        <v>1355</v>
      </c>
      <c r="C8" s="46" t="n">
        <f aca="false">-C5*Assumptions!$E$19</f>
        <v>-1495.6228</v>
      </c>
      <c r="D8" s="46" t="n">
        <f aca="false">-D5*Assumptions!$E$19</f>
        <v>-1690.053764</v>
      </c>
      <c r="E8" s="46" t="n">
        <f aca="false">-E5*Assumptions!$E$19</f>
        <v>-1909.76075332</v>
      </c>
      <c r="F8" s="46" t="n">
        <f aca="false">-F5*Assumptions!$E$19</f>
        <v>-2158.0296512516</v>
      </c>
      <c r="G8" s="46" t="n">
        <f aca="false">-G5*Assumptions!$E$19</f>
        <v>-2438.57350591431</v>
      </c>
    </row>
    <row r="9" customFormat="false" ht="15" hidden="false" customHeight="true" outlineLevel="0" collapsed="false">
      <c r="A9" s="15" t="s">
        <v>95</v>
      </c>
      <c r="B9" s="50" t="n">
        <f aca="false">B7+B8</f>
        <v>11125</v>
      </c>
      <c r="C9" s="50" t="n">
        <f aca="false">C7+C8</f>
        <v>9534.59535</v>
      </c>
      <c r="D9" s="50" t="n">
        <f aca="false">D7+D8</f>
        <v>10774.0927455</v>
      </c>
      <c r="E9" s="50" t="n">
        <f aca="false">E7+E8</f>
        <v>12174.724802415</v>
      </c>
      <c r="F9" s="50" t="n">
        <f aca="false">F7+F8</f>
        <v>13757.4390267289</v>
      </c>
      <c r="G9" s="50" t="n">
        <f aca="false">G7+G8</f>
        <v>15545.9061002037</v>
      </c>
    </row>
    <row r="10" customFormat="false" ht="15" hidden="false" customHeight="true" outlineLevel="0" collapsed="false">
      <c r="A10" s="13" t="s">
        <v>143</v>
      </c>
      <c r="B10" s="46" t="n">
        <f aca="false">-B9*0.25</f>
        <v>-2781.25</v>
      </c>
      <c r="C10" s="46" t="n">
        <f aca="false">-C9*Assumptions!$E$17</f>
        <v>-2383.6488375</v>
      </c>
      <c r="D10" s="46" t="n">
        <f aca="false">-D9*Assumptions!$E$17</f>
        <v>-2693.523186375</v>
      </c>
      <c r="E10" s="46" t="n">
        <f aca="false">-E9*Assumptions!$E$17</f>
        <v>-3043.68120060375</v>
      </c>
      <c r="F10" s="46" t="n">
        <f aca="false">-F9*Assumptions!$E$17</f>
        <v>-3439.35975668224</v>
      </c>
      <c r="G10" s="46" t="n">
        <f aca="false">-G9*Assumptions!$E$17</f>
        <v>-3886.47652505093</v>
      </c>
    </row>
    <row r="11" customFormat="false" ht="15" hidden="false" customHeight="true" outlineLevel="0" collapsed="false">
      <c r="A11" s="15" t="s">
        <v>144</v>
      </c>
      <c r="B11" s="50" t="n">
        <f aca="false">B9+B10</f>
        <v>8343.75</v>
      </c>
      <c r="C11" s="50" t="n">
        <f aca="false">C9+C10</f>
        <v>7150.9465125</v>
      </c>
      <c r="D11" s="50" t="n">
        <f aca="false">D9+D10</f>
        <v>8080.569559125</v>
      </c>
      <c r="E11" s="50" t="n">
        <f aca="false">E9+E10</f>
        <v>9131.04360181125</v>
      </c>
      <c r="F11" s="50" t="n">
        <f aca="false">F9+F10</f>
        <v>10318.0792700467</v>
      </c>
      <c r="G11" s="50" t="n">
        <f aca="false">G9+G10</f>
        <v>11659.4295751528</v>
      </c>
    </row>
    <row r="12" customFormat="false" ht="15" hidden="false" customHeight="true" outlineLevel="0" collapsed="false">
      <c r="A12" s="13" t="s">
        <v>145</v>
      </c>
      <c r="B12" s="46" t="n">
        <f aca="false">-HAL_Data!F5*0.06</f>
        <v>-1985.34</v>
      </c>
      <c r="C12" s="46" t="n">
        <f aca="false">-C5*Assumptions!$E$18</f>
        <v>-2243.4342</v>
      </c>
      <c r="D12" s="46" t="n">
        <f aca="false">-D5*Assumptions!$E$18</f>
        <v>-2535.080646</v>
      </c>
      <c r="E12" s="46" t="n">
        <f aca="false">-E5*Assumptions!$E$18</f>
        <v>-2864.64112998</v>
      </c>
      <c r="F12" s="46" t="n">
        <f aca="false">-F5*Assumptions!$E$18</f>
        <v>-3237.0444768774</v>
      </c>
      <c r="G12" s="46" t="n">
        <f aca="false">-G5*Assumptions!$E$18</f>
        <v>-3657.86025887146</v>
      </c>
    </row>
    <row r="13" customFormat="false" ht="15" hidden="false" customHeight="true" outlineLevel="0" collapsed="false">
      <c r="A13" s="13" t="s">
        <v>146</v>
      </c>
      <c r="B13" s="48"/>
      <c r="C13" s="46" t="n">
        <f aca="false">C5-B5</f>
        <v>4301.57</v>
      </c>
      <c r="D13" s="46" t="n">
        <f aca="false">D5-C5</f>
        <v>4860.7741</v>
      </c>
      <c r="E13" s="46" t="n">
        <f aca="false">E5-D5</f>
        <v>5492.67473299999</v>
      </c>
      <c r="F13" s="46" t="n">
        <f aca="false">F5-E5</f>
        <v>6206.72244828999</v>
      </c>
      <c r="G13" s="46" t="n">
        <f aca="false">G5-F5</f>
        <v>7013.59636656769</v>
      </c>
    </row>
    <row r="14" customFormat="false" ht="15" hidden="false" customHeight="true" outlineLevel="0" collapsed="false">
      <c r="A14" s="15" t="s">
        <v>147</v>
      </c>
      <c r="B14" s="51"/>
      <c r="C14" s="50" t="n">
        <f aca="false">-C13*Assumptions!$E$20</f>
        <v>-516.1884</v>
      </c>
      <c r="D14" s="50" t="n">
        <f aca="false">-D13*Assumptions!$E$20</f>
        <v>-583.292891999999</v>
      </c>
      <c r="E14" s="50" t="n">
        <f aca="false">-E13*Assumptions!$E$20</f>
        <v>-659.120967959999</v>
      </c>
      <c r="F14" s="50" t="n">
        <f aca="false">-F13*Assumptions!$E$20</f>
        <v>-744.806693794799</v>
      </c>
      <c r="G14" s="50" t="n">
        <f aca="false">-G13*Assumptions!$E$20</f>
        <v>-841.631563988123</v>
      </c>
    </row>
    <row r="15" customFormat="false" ht="15" hidden="false" customHeight="true" outlineLevel="0" collapsed="false">
      <c r="A15" s="11" t="s">
        <v>148</v>
      </c>
      <c r="B15" s="12"/>
      <c r="C15" s="52" t="n">
        <f aca="false">C11-C8+C12+C14</f>
        <v>5886.9467125</v>
      </c>
      <c r="D15" s="52" t="n">
        <f aca="false">D11-D8+D12+D14</f>
        <v>6652.249785125</v>
      </c>
      <c r="E15" s="52" t="n">
        <f aca="false">E11-E8+E12+E14</f>
        <v>7517.04225719125</v>
      </c>
      <c r="F15" s="52" t="n">
        <f aca="false">F11-F8+F12+F14</f>
        <v>8494.25775062611</v>
      </c>
      <c r="G15" s="52" t="n">
        <f aca="false">G11-G8+G12+G14</f>
        <v>9598.5112582075</v>
      </c>
    </row>
    <row r="17" customFormat="false" ht="15" hidden="false" customHeight="true" outlineLevel="0" collapsed="false">
      <c r="A17" s="19" t="s">
        <v>149</v>
      </c>
    </row>
  </sheetData>
  <mergeCells count="2">
    <mergeCell ref="A1:G1"/>
    <mergeCell ref="A2:G2"/>
  </mergeCells>
  <conditionalFormatting sqref="C5:G5">
    <cfRule type="dataBar" priority="2">
      <dataBar showValue="1" minLength="10" maxLength="90">
        <cfvo type="min" val="0"/>
        <cfvo type="max" val="0"/>
        <color rgb="FF1F6F54"/>
      </dataBar>
      <extLst>
        <ext xmlns:x14="http://schemas.microsoft.com/office/spreadsheetml/2009/9/main" uri="{B025F937-C7B1-47D3-B67F-A62EFF666E3E}">
          <x14:id>{EEED333F-B8BD-426E-B486-3D2DC03EFB44}</x14:id>
        </ext>
      </extLst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ED333F-B8BD-426E-B486-3D2DC03EFB44}">
            <x14:dataBar minLength="10" maxLength="90" axisPosition="none" gradient="true">
              <x14:cfvo type="min"/>
              <x14:cfvo type="max"/>
              <x14:negativeFillColor rgb="FF1F6F54"/>
              <x14:axisColor rgb="FF000000"/>
            </x14:dataBar>
          </x14:cfRule>
          <xm:sqref>C5:G5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61F"/>
    <pageSetUpPr fitToPage="tru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8" min="3" style="1" width="12"/>
  </cols>
  <sheetData>
    <row r="1" customFormat="false" ht="30" hidden="false" customHeight="true" outlineLevel="0" collapsed="false">
      <c r="A1" s="2" t="s">
        <v>150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151</v>
      </c>
      <c r="B2" s="3"/>
      <c r="C2" s="3"/>
      <c r="D2" s="3"/>
      <c r="E2" s="3"/>
      <c r="F2" s="3"/>
      <c r="G2" s="3"/>
      <c r="H2" s="3"/>
    </row>
    <row r="4" customFormat="false" ht="19.5" hidden="false" customHeight="true" outlineLevel="0" collapsed="false">
      <c r="A4" s="4" t="s">
        <v>152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15" t="s">
        <v>153</v>
      </c>
      <c r="C5" s="16" t="n">
        <f aca="false">Assumptions!E21</f>
        <v>0.11</v>
      </c>
    </row>
    <row r="6" customFormat="false" ht="15" hidden="false" customHeight="true" outlineLevel="0" collapsed="false">
      <c r="A6" s="13" t="s">
        <v>154</v>
      </c>
      <c r="C6" s="14" t="n">
        <f aca="false">Assumptions!E22</f>
        <v>0.055</v>
      </c>
    </row>
    <row r="7" customFormat="false" ht="15" hidden="false" customHeight="true" outlineLevel="0" collapsed="false">
      <c r="A7" s="15" t="s">
        <v>155</v>
      </c>
      <c r="C7" s="43" t="n">
        <v>25000</v>
      </c>
    </row>
    <row r="8" customFormat="false" ht="15" hidden="false" customHeight="true" outlineLevel="0" collapsed="false">
      <c r="A8" s="13" t="s">
        <v>156</v>
      </c>
      <c r="C8" s="20" t="n">
        <v>66.84</v>
      </c>
    </row>
    <row r="9" customFormat="false" ht="15" hidden="false" customHeight="true" outlineLevel="0" collapsed="false">
      <c r="A9" s="15" t="s">
        <v>157</v>
      </c>
      <c r="C9" s="43" t="n">
        <v>4255</v>
      </c>
    </row>
    <row r="11" customFormat="false" ht="19.5" hidden="false" customHeight="true" outlineLevel="0" collapsed="false">
      <c r="A11" s="4" t="s">
        <v>158</v>
      </c>
      <c r="B11" s="4"/>
      <c r="C11" s="4"/>
      <c r="D11" s="4"/>
      <c r="E11" s="4"/>
      <c r="F11" s="4"/>
      <c r="G11" s="4"/>
      <c r="H11" s="4"/>
    </row>
    <row r="12" customFormat="false" ht="15" hidden="false" customHeight="true" outlineLevel="0" collapsed="false">
      <c r="A12" s="13" t="s">
        <v>159</v>
      </c>
      <c r="C12" s="46" t="n">
        <f aca="false">NPV(C5,HAL_Forecast!C15:G15)</f>
        <v>27490.7472016074</v>
      </c>
    </row>
    <row r="13" customFormat="false" ht="15" hidden="false" customHeight="true" outlineLevel="0" collapsed="false">
      <c r="A13" s="15" t="s">
        <v>160</v>
      </c>
      <c r="C13" s="50" t="n">
        <f aca="false">HAL_Forecast!G15*(1+C6)/(C5-C6)</f>
        <v>184116.897771071</v>
      </c>
    </row>
    <row r="14" customFormat="false" ht="15" hidden="false" customHeight="true" outlineLevel="0" collapsed="false">
      <c r="A14" s="13" t="s">
        <v>161</v>
      </c>
      <c r="C14" s="46" t="n">
        <f aca="false">C13/(1+C5)^5</f>
        <v>109264.417500264</v>
      </c>
    </row>
    <row r="15" customFormat="false" ht="15" hidden="false" customHeight="true" outlineLevel="0" collapsed="false">
      <c r="A15" s="15" t="s">
        <v>162</v>
      </c>
      <c r="C15" s="50" t="n">
        <f aca="false">C12+C14</f>
        <v>136755.164701871</v>
      </c>
    </row>
    <row r="16" customFormat="false" ht="15" hidden="false" customHeight="true" outlineLevel="0" collapsed="false">
      <c r="A16" s="13" t="s">
        <v>163</v>
      </c>
      <c r="C16" s="46" t="n">
        <f aca="false">C7</f>
        <v>25000</v>
      </c>
    </row>
    <row r="17" customFormat="false" ht="15" hidden="false" customHeight="true" outlineLevel="0" collapsed="false">
      <c r="A17" s="15" t="s">
        <v>164</v>
      </c>
      <c r="C17" s="50" t="n">
        <f aca="false">C15+C16</f>
        <v>161755.164701871</v>
      </c>
    </row>
    <row r="18" customFormat="false" ht="15" hidden="false" customHeight="true" outlineLevel="0" collapsed="false">
      <c r="A18" s="11" t="s">
        <v>165</v>
      </c>
      <c r="C18" s="52" t="n">
        <f aca="false">C17/C8</f>
        <v>2420.03537854386</v>
      </c>
    </row>
    <row r="19" customFormat="false" ht="15" hidden="false" customHeight="true" outlineLevel="0" collapsed="false">
      <c r="A19" s="11" t="s">
        <v>166</v>
      </c>
      <c r="C19" s="53" t="n">
        <f aca="false">C18/C9-1</f>
        <v>-0.431249029719422</v>
      </c>
    </row>
    <row r="22" customFormat="false" ht="19.5" hidden="false" customHeight="true" outlineLevel="0" collapsed="false">
      <c r="A22" s="4" t="s">
        <v>167</v>
      </c>
      <c r="B22" s="4"/>
      <c r="C22" s="4"/>
      <c r="D22" s="4"/>
      <c r="E22" s="4"/>
      <c r="F22" s="4"/>
      <c r="G22" s="4"/>
      <c r="H22" s="4"/>
    </row>
    <row r="23" customFormat="false" ht="15" hidden="false" customHeight="true" outlineLevel="0" collapsed="false">
      <c r="B23" s="54" t="s">
        <v>168</v>
      </c>
      <c r="C23" s="55" t="n">
        <v>0.045</v>
      </c>
      <c r="D23" s="55" t="n">
        <v>0.05</v>
      </c>
      <c r="E23" s="55" t="n">
        <v>0.055</v>
      </c>
      <c r="F23" s="55" t="n">
        <v>0.06</v>
      </c>
      <c r="G23" s="55" t="n">
        <v>0.065</v>
      </c>
    </row>
    <row r="24" customFormat="false" ht="15" hidden="false" customHeight="true" outlineLevel="0" collapsed="false">
      <c r="B24" s="55" t="n">
        <v>0.095</v>
      </c>
      <c r="C24" s="46" t="n">
        <f aca="false">(NPV($B24,HAL_Forecast!$C$15:$G$15)+(HAL_Forecast!$G$15*(1+C$23)/($B24-C$23))/(1+$B24)^5+$C$7)/$C$8</f>
        <v>2709.26962266741</v>
      </c>
      <c r="D24" s="46" t="n">
        <f aca="false">(NPV($B24,HAL_Forecast!$C$15:$G$15)+(HAL_Forecast!$G$15*(1+D$23)/($B24-D$23))/(1+$B24)^5+$C$7)/$C$8</f>
        <v>2931.24175136355</v>
      </c>
      <c r="E24" s="46" t="n">
        <f aca="false">(NPV($B24,HAL_Forecast!$C$15:$G$15)+(HAL_Forecast!$G$15*(1+E$23)/($B24-E$23))/(1+$B24)^5+$C$7)/$C$8</f>
        <v>3208.70691223372</v>
      </c>
      <c r="F24" s="46" t="n">
        <f aca="false">(NPV($B24,HAL_Forecast!$C$15:$G$15)+(HAL_Forecast!$G$15*(1+F$23)/($B24-F$23))/(1+$B24)^5+$C$7)/$C$8</f>
        <v>3565.44783335251</v>
      </c>
      <c r="G24" s="46" t="n">
        <f aca="false">(NPV($B24,HAL_Forecast!$C$15:$G$15)+(HAL_Forecast!$G$15*(1+G$23)/($B24-G$23))/(1+$B24)^5+$C$7)/$C$8</f>
        <v>4041.10239484423</v>
      </c>
    </row>
    <row r="25" customFormat="false" ht="15" hidden="false" customHeight="true" outlineLevel="0" collapsed="false">
      <c r="B25" s="55" t="n">
        <v>0.105</v>
      </c>
      <c r="C25" s="46" t="n">
        <f aca="false">(NPV($B25,HAL_Forecast!$C$15:$G$15)+(HAL_Forecast!$G$15*(1+C$23)/($B25-C$23))/(1+$B25)^5+$C$7)/$C$8</f>
        <v>2309.17592363243</v>
      </c>
      <c r="D25" s="46" t="n">
        <f aca="false">(NPV($B25,HAL_Forecast!$C$15:$G$15)+(HAL_Forecast!$G$15*(1+D$23)/($B25-D$23))/(1+$B25)^5+$C$7)/$C$8</f>
        <v>2455.11593971185</v>
      </c>
      <c r="E25" s="46" t="n">
        <f aca="false">(NPV($B25,HAL_Forecast!$C$15:$G$15)+(HAL_Forecast!$G$15*(1+E$23)/($B25-E$23))/(1+$B25)^5+$C$7)/$C$8</f>
        <v>2630.24395900715</v>
      </c>
      <c r="F25" s="46" t="n">
        <f aca="false">(NPV($B25,HAL_Forecast!$C$15:$G$15)+(HAL_Forecast!$G$15*(1+F$23)/($B25-F$23))/(1+$B25)^5+$C$7)/$C$8</f>
        <v>2844.28931592364</v>
      </c>
      <c r="G25" s="46" t="n">
        <f aca="false">(NPV($B25,HAL_Forecast!$C$15:$G$15)+(HAL_Forecast!$G$15*(1+G$23)/($B25-G$23))/(1+$B25)^5+$C$7)/$C$8</f>
        <v>3111.84601206924</v>
      </c>
    </row>
    <row r="26" customFormat="false" ht="15" hidden="false" customHeight="true" outlineLevel="0" collapsed="false">
      <c r="B26" s="55" t="n">
        <v>0.11</v>
      </c>
      <c r="C26" s="46" t="n">
        <f aca="false">(NPV($B26,HAL_Forecast!$C$15:$G$15)+(HAL_Forecast!$G$15*(1+C$23)/($B26-C$23))/(1+$B26)^5+$C$7)/$C$8</f>
        <v>2155.4295074537</v>
      </c>
      <c r="D26" s="46" t="n">
        <f aca="false">(NPV($B26,HAL_Forecast!$C$15:$G$15)+(HAL_Forecast!$G$15*(1+D$23)/($B26-D$23))/(1+$B26)^5+$C$7)/$C$8</f>
        <v>2276.70719837002</v>
      </c>
      <c r="E26" s="46" t="n">
        <f aca="false">(NPV($B26,HAL_Forecast!$C$15:$G$15)+(HAL_Forecast!$G$15*(1+E$23)/($B26-E$23))/(1+$B26)^5+$C$7)/$C$8</f>
        <v>2420.03537854386</v>
      </c>
      <c r="F26" s="46" t="n">
        <f aca="false">(NPV($B26,HAL_Forecast!$C$15:$G$15)+(HAL_Forecast!$G$15*(1+F$23)/($B26-F$23))/(1+$B26)^5+$C$7)/$C$8</f>
        <v>2592.02919475246</v>
      </c>
      <c r="G26" s="46" t="n">
        <f aca="false">(NPV($B26,HAL_Forecast!$C$15:$G$15)+(HAL_Forecast!$G$15*(1+G$23)/($B26-G$23))/(1+$B26)^5+$C$7)/$C$8</f>
        <v>2802.24385900743</v>
      </c>
    </row>
    <row r="27" customFormat="false" ht="15" hidden="false" customHeight="true" outlineLevel="0" collapsed="false">
      <c r="B27" s="55" t="n">
        <v>0.12</v>
      </c>
      <c r="C27" s="46" t="n">
        <f aca="false">(NPV($B27,HAL_Forecast!$C$15:$G$15)+(HAL_Forecast!$G$15*(1+C$23)/($B27-C$23))/(1+$B27)^5+$C$7)/$C$8</f>
        <v>1909.6614431153</v>
      </c>
      <c r="D27" s="46" t="n">
        <f aca="false">(NPV($B27,HAL_Forecast!$C$15:$G$15)+(HAL_Forecast!$G$15*(1+D$23)/($B27-D$23))/(1+$B27)^5+$C$7)/$C$8</f>
        <v>1996.57870723378</v>
      </c>
      <c r="E27" s="46" t="n">
        <f aca="false">(NPV($B27,HAL_Forecast!$C$15:$G$15)+(HAL_Forecast!$G$15*(1+E$23)/($B27-E$23))/(1+$B27)^5+$C$7)/$C$8</f>
        <v>2096.86785813971</v>
      </c>
      <c r="F27" s="46" t="n">
        <f aca="false">(NPV($B27,HAL_Forecast!$C$15:$G$15)+(HAL_Forecast!$G$15*(1+F$23)/($B27-F$23))/(1+$B27)^5+$C$7)/$C$8</f>
        <v>2213.87186752998</v>
      </c>
      <c r="G27" s="46" t="n">
        <f aca="false">(NPV($B27,HAL_Forecast!$C$15:$G$15)+(HAL_Forecast!$G$15*(1+G$23)/($B27-G$23))/(1+$B27)^5+$C$7)/$C$8</f>
        <v>2352.14933317301</v>
      </c>
    </row>
    <row r="28" customFormat="false" ht="15" hidden="false" customHeight="true" outlineLevel="0" collapsed="false">
      <c r="B28" s="55" t="n">
        <v>0.13</v>
      </c>
      <c r="C28" s="46" t="n">
        <f aca="false">(NPV($B28,HAL_Forecast!$C$15:$G$15)+(HAL_Forecast!$G$15*(1+C$23)/($B28-C$23))/(1+$B28)^5+$C$7)/$C$8</f>
        <v>1721.97705030559</v>
      </c>
      <c r="D28" s="46" t="n">
        <f aca="false">(NPV($B28,HAL_Forecast!$C$15:$G$15)+(HAL_Forecast!$G$15*(1+D$23)/($B28-D$23))/(1+$B28)^5+$C$7)/$C$8</f>
        <v>1786.73823056596</v>
      </c>
      <c r="E28" s="46" t="n">
        <f aca="false">(NPV($B28,HAL_Forecast!$C$15:$G$15)+(HAL_Forecast!$G$15*(1+E$23)/($B28-E$23))/(1+$B28)^5+$C$7)/$C$8</f>
        <v>1860.13423486104</v>
      </c>
      <c r="F28" s="46" t="n">
        <f aca="false">(NPV($B28,HAL_Forecast!$C$15:$G$15)+(HAL_Forecast!$G$15*(1+F$23)/($B28-F$23))/(1+$B28)^5+$C$7)/$C$8</f>
        <v>1944.01538262685</v>
      </c>
      <c r="G28" s="46" t="n">
        <f aca="false">(NPV($B28,HAL_Forecast!$C$15:$G$15)+(HAL_Forecast!$G$15*(1+G$23)/($B28-G$23))/(1+$B28)^5+$C$7)/$C$8</f>
        <v>2040.80132235663</v>
      </c>
    </row>
    <row r="30" customFormat="false" ht="15" hidden="false" customHeight="true" outlineLevel="0" collapsed="false">
      <c r="A30" s="56" t="s">
        <v>169</v>
      </c>
      <c r="B30" s="56"/>
      <c r="C30" s="56"/>
      <c r="D30" s="56"/>
      <c r="E30" s="56"/>
      <c r="F30" s="56"/>
      <c r="G30" s="56"/>
      <c r="H30" s="56"/>
    </row>
    <row r="31" customFormat="false" ht="15" hidden="false" customHeight="true" outlineLevel="0" collapsed="false">
      <c r="A31" s="56"/>
      <c r="B31" s="56"/>
      <c r="C31" s="56"/>
      <c r="D31" s="56"/>
      <c r="E31" s="56"/>
      <c r="F31" s="56"/>
      <c r="G31" s="56"/>
      <c r="H31" s="56"/>
    </row>
  </sheetData>
  <mergeCells count="6">
    <mergeCell ref="A1:H1"/>
    <mergeCell ref="A2:H2"/>
    <mergeCell ref="A4:H4"/>
    <mergeCell ref="A11:H11"/>
    <mergeCell ref="A22:H22"/>
    <mergeCell ref="A30:H31"/>
  </mergeCells>
  <conditionalFormatting sqref="C19">
    <cfRule type="cellIs" priority="2" operator="greaterThan" aboveAverage="0" equalAverage="0" bottom="0" percent="0" rank="0" text="" dxfId="0">
      <formula>0</formula>
    </cfRule>
    <cfRule type="cellIs" priority="3" operator="lessThanOrEqual" aboveAverage="0" equalAverage="0" bottom="0" percent="0" rank="0" text="" dxfId="1">
      <formula>0</formula>
    </cfRule>
  </conditionalFormatting>
  <conditionalFormatting sqref="C24:G28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61F"/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3"/>
    <col collapsed="false" customWidth="true" hidden="false" outlineLevel="0" max="5" min="5" style="0" width="34"/>
    <col collapsed="false" customWidth="true" hidden="false" outlineLevel="0" max="8" min="7" style="0" width="13"/>
  </cols>
  <sheetData>
    <row r="1" customFormat="false" ht="30" hidden="false" customHeight="true" outlineLevel="0" collapsed="false">
      <c r="A1" s="2" t="s">
        <v>170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171</v>
      </c>
      <c r="B2" s="3"/>
      <c r="C2" s="3"/>
      <c r="D2" s="3"/>
      <c r="E2" s="3"/>
      <c r="F2" s="3"/>
      <c r="G2" s="3"/>
      <c r="H2" s="3"/>
    </row>
    <row r="4" customFormat="false" ht="15" hidden="false" customHeight="false" outlineLevel="0" collapsed="false">
      <c r="A4" s="4" t="s">
        <v>172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3" t="s">
        <v>173</v>
      </c>
      <c r="C5" s="57" t="n">
        <f aca="false">HAL_Data!F21</f>
        <v>136.3</v>
      </c>
    </row>
    <row r="6" customFormat="false" ht="15" hidden="false" customHeight="false" outlineLevel="0" collapsed="false">
      <c r="A6" s="15" t="s">
        <v>174</v>
      </c>
      <c r="C6" s="58" t="n">
        <f aca="false">HAL_Data!F6</f>
        <v>9770</v>
      </c>
    </row>
    <row r="7" customFormat="false" ht="15" hidden="false" customHeight="false" outlineLevel="0" collapsed="false">
      <c r="A7" s="13" t="s">
        <v>175</v>
      </c>
      <c r="C7" s="45" t="n">
        <f aca="false">DCF_Valuation!C7</f>
        <v>25000</v>
      </c>
    </row>
    <row r="8" customFormat="false" ht="15" hidden="false" customHeight="false" outlineLevel="0" collapsed="false">
      <c r="A8" s="15" t="s">
        <v>156</v>
      </c>
      <c r="C8" s="59" t="n">
        <f aca="false">DCF_Valuation!C8</f>
        <v>66.84</v>
      </c>
    </row>
    <row r="9" customFormat="false" ht="15" hidden="false" customHeight="false" outlineLevel="0" collapsed="false">
      <c r="A9" s="13" t="s">
        <v>176</v>
      </c>
      <c r="C9" s="45" t="n">
        <f aca="false">DCF_Valuation!C9</f>
        <v>4255</v>
      </c>
    </row>
    <row r="11" customFormat="false" ht="15" hidden="false" customHeight="false" outlineLevel="0" collapsed="false">
      <c r="A11" s="4" t="s">
        <v>177</v>
      </c>
      <c r="B11" s="4"/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A12" s="11" t="s">
        <v>178</v>
      </c>
      <c r="B12" s="12" t="s">
        <v>179</v>
      </c>
      <c r="C12" s="12" t="s">
        <v>180</v>
      </c>
      <c r="D12" s="12" t="s">
        <v>181</v>
      </c>
      <c r="E12" s="12" t="s">
        <v>182</v>
      </c>
      <c r="G12" s="12" t="s">
        <v>183</v>
      </c>
      <c r="H12" s="12" t="s">
        <v>184</v>
      </c>
    </row>
    <row r="13" customFormat="false" ht="15" hidden="false" customHeight="false" outlineLevel="0" collapsed="false">
      <c r="A13" s="13" t="s">
        <v>185</v>
      </c>
      <c r="B13" s="46" t="n">
        <f aca="false">MIN(DCF_Valuation!C24:G28)</f>
        <v>1721.97705030559</v>
      </c>
      <c r="C13" s="46" t="n">
        <f aca="false">MAX(DCF_Valuation!C24:G28)</f>
        <v>4041.10239484423</v>
      </c>
      <c r="D13" s="60" t="n">
        <f aca="false">AVERAGE(B13:C13)</f>
        <v>2881.53972257491</v>
      </c>
      <c r="E13" s="61" t="s">
        <v>186</v>
      </c>
      <c r="G13" s="62" t="n">
        <f aca="false">B13</f>
        <v>1721.97705030559</v>
      </c>
      <c r="H13" s="46" t="n">
        <f aca="false">C13-B13</f>
        <v>2319.12534453864</v>
      </c>
    </row>
    <row r="14" customFormat="false" ht="15" hidden="false" customHeight="false" outlineLevel="0" collapsed="false">
      <c r="A14" s="15" t="s">
        <v>187</v>
      </c>
      <c r="B14" s="50" t="n">
        <f aca="false">MIN(Comps!D11,Comps!E11)*$C$5</f>
        <v>1785.64561734213</v>
      </c>
      <c r="C14" s="50" t="n">
        <f aca="false">MAX(Comps!D11,Comps!E11)*$C$5</f>
        <v>2988.43930635838</v>
      </c>
      <c r="D14" s="63" t="n">
        <f aca="false">AVERAGE(B14:C14)</f>
        <v>2387.04246185026</v>
      </c>
      <c r="E14" s="64" t="s">
        <v>188</v>
      </c>
      <c r="G14" s="62" t="n">
        <f aca="false">B14</f>
        <v>1785.64561734213</v>
      </c>
      <c r="H14" s="46" t="n">
        <f aca="false">C14-B14</f>
        <v>1202.79368901625</v>
      </c>
    </row>
    <row r="15" customFormat="false" ht="15" hidden="false" customHeight="false" outlineLevel="0" collapsed="false">
      <c r="A15" s="13" t="s">
        <v>189</v>
      </c>
      <c r="B15" s="46" t="n">
        <f aca="false">(MIN(Comps!D10,Comps!E10)*$C$6+$C$7)/$C$8</f>
        <v>1409.87762526094</v>
      </c>
      <c r="C15" s="46" t="n">
        <f aca="false">(MAX(Comps!D10,Comps!E10)*$C$6+$C$7)/$C$8</f>
        <v>2353.97864237744</v>
      </c>
      <c r="D15" s="60" t="n">
        <f aca="false">AVERAGE(B15:C15)</f>
        <v>1881.92813381919</v>
      </c>
      <c r="E15" s="61" t="s">
        <v>190</v>
      </c>
      <c r="G15" s="62" t="n">
        <f aca="false">B15</f>
        <v>1409.87762526094</v>
      </c>
      <c r="H15" s="46" t="n">
        <f aca="false">C15-B15</f>
        <v>944.101017116504</v>
      </c>
    </row>
    <row r="16" customFormat="false" ht="15" hidden="false" customHeight="false" outlineLevel="0" collapsed="false">
      <c r="A16" s="15" t="s">
        <v>191</v>
      </c>
      <c r="B16" s="50" t="n">
        <f aca="false">25*$C$5</f>
        <v>3407.5</v>
      </c>
      <c r="C16" s="50" t="n">
        <f aca="false">40*$C$5</f>
        <v>5452</v>
      </c>
      <c r="D16" s="63" t="n">
        <f aca="false">AVERAGE(B16:C16)</f>
        <v>4429.75</v>
      </c>
      <c r="E16" s="64" t="s">
        <v>192</v>
      </c>
      <c r="G16" s="62" t="n">
        <f aca="false">B16</f>
        <v>3407.5</v>
      </c>
      <c r="H16" s="46" t="n">
        <f aca="false">C16-B16</f>
        <v>2044.5</v>
      </c>
    </row>
    <row r="18" customFormat="false" ht="15" hidden="false" customHeight="false" outlineLevel="0" collapsed="false">
      <c r="A18" s="13" t="s">
        <v>193</v>
      </c>
      <c r="B18" s="65" t="n">
        <f aca="false">$C$9</f>
        <v>4255</v>
      </c>
      <c r="C18" s="66" t="s">
        <v>194</v>
      </c>
    </row>
    <row r="20" customFormat="false" ht="15" hidden="false" customHeight="false" outlineLevel="0" collapsed="false">
      <c r="A20" s="67" t="s">
        <v>195</v>
      </c>
    </row>
  </sheetData>
  <mergeCells count="4">
    <mergeCell ref="A1:H1"/>
    <mergeCell ref="A2:H2"/>
    <mergeCell ref="A4:H4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B8F"/>
    <pageSetUpPr fitToPage="tru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3" style="1" width="15"/>
  </cols>
  <sheetData>
    <row r="1" customFormat="false" ht="30" hidden="false" customHeight="true" outlineLevel="0" collapsed="false">
      <c r="A1" s="2" t="s">
        <v>196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3" t="s">
        <v>197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11" t="s">
        <v>12</v>
      </c>
      <c r="B4" s="12" t="s">
        <v>198</v>
      </c>
      <c r="C4" s="12" t="s">
        <v>199</v>
      </c>
      <c r="D4" s="12" t="s">
        <v>200</v>
      </c>
      <c r="E4" s="12"/>
      <c r="F4" s="12" t="s">
        <v>201</v>
      </c>
    </row>
    <row r="5" customFormat="false" ht="15" hidden="false" customHeight="true" outlineLevel="0" collapsed="false">
      <c r="A5" s="13" t="s">
        <v>202</v>
      </c>
      <c r="C5" s="43" t="n">
        <v>284544</v>
      </c>
      <c r="D5" s="43" t="n">
        <v>13900</v>
      </c>
      <c r="E5" s="43" t="n">
        <v>110000</v>
      </c>
    </row>
    <row r="6" customFormat="false" ht="15" hidden="false" customHeight="true" outlineLevel="0" collapsed="false">
      <c r="A6" s="15" t="s">
        <v>203</v>
      </c>
      <c r="C6" s="50" t="n">
        <f aca="false">-DCF_Valuation!C7</f>
        <v>-25000</v>
      </c>
      <c r="D6" s="50" t="n">
        <f aca="false">-Dassault_Data!F12</f>
        <v>-9400</v>
      </c>
      <c r="E6" s="50" t="n">
        <f aca="false">Lockheed_Data!F11</f>
        <v>17579</v>
      </c>
    </row>
    <row r="7" customFormat="false" ht="15" hidden="false" customHeight="true" outlineLevel="0" collapsed="false">
      <c r="A7" s="13" t="s">
        <v>204</v>
      </c>
      <c r="C7" s="46" t="n">
        <f aca="false">C5+C6</f>
        <v>259544</v>
      </c>
      <c r="D7" s="46" t="n">
        <f aca="false">D5+D6</f>
        <v>4500</v>
      </c>
      <c r="E7" s="46" t="n">
        <f aca="false">E5+E6</f>
        <v>127579</v>
      </c>
    </row>
    <row r="8" customFormat="false" ht="15" hidden="false" customHeight="true" outlineLevel="0" collapsed="false">
      <c r="A8" s="15" t="s">
        <v>57</v>
      </c>
      <c r="C8" s="50" t="n">
        <f aca="false">HAL_Data!F6</f>
        <v>9770</v>
      </c>
      <c r="D8" s="50" t="n">
        <f aca="false">Dassault_Data!F6</f>
        <v>635</v>
      </c>
      <c r="E8" s="50" t="n">
        <f aca="false">Lockheed_Data!F5*Lockheed_Data!F16</f>
        <v>9418.524</v>
      </c>
    </row>
    <row r="9" customFormat="false" ht="15" hidden="false" customHeight="true" outlineLevel="0" collapsed="false">
      <c r="A9" s="13" t="s">
        <v>96</v>
      </c>
      <c r="C9" s="46" t="n">
        <f aca="false">HAL_Data!F11</f>
        <v>9116</v>
      </c>
      <c r="D9" s="46" t="n">
        <f aca="false">Dassault_Data!F7</f>
        <v>1061</v>
      </c>
      <c r="E9" s="46" t="n">
        <f aca="false">Lockheed_Data!F8</f>
        <v>5017</v>
      </c>
    </row>
    <row r="10" customFormat="false" ht="15" hidden="false" customHeight="true" outlineLevel="0" collapsed="false">
      <c r="A10" s="68" t="s">
        <v>18</v>
      </c>
      <c r="C10" s="69" t="n">
        <f aca="false">C7/C8</f>
        <v>26.5654042988741</v>
      </c>
      <c r="D10" s="69" t="n">
        <f aca="false">D7/D8</f>
        <v>7.08661417322835</v>
      </c>
      <c r="E10" s="69" t="n">
        <f aca="false">E7/E8</f>
        <v>13.5455406813212</v>
      </c>
    </row>
    <row r="11" customFormat="false" ht="15" hidden="false" customHeight="true" outlineLevel="0" collapsed="false">
      <c r="A11" s="68" t="s">
        <v>205</v>
      </c>
      <c r="C11" s="69" t="n">
        <f aca="false">C5/C9</f>
        <v>31.2136902150066</v>
      </c>
      <c r="D11" s="69" t="n">
        <f aca="false">D5/D9</f>
        <v>13.1008482563619</v>
      </c>
      <c r="E11" s="69" t="n">
        <f aca="false">E5/E9</f>
        <v>21.925453458242</v>
      </c>
    </row>
    <row r="12" customFormat="false" ht="15" hidden="false" customHeight="true" outlineLevel="0" collapsed="false">
      <c r="A12" s="15" t="s">
        <v>56</v>
      </c>
      <c r="C12" s="50" t="n">
        <f aca="false">HAL_Data!F5</f>
        <v>33089</v>
      </c>
      <c r="D12" s="50" t="n">
        <f aca="false">Dassault_Data!F5</f>
        <v>7424</v>
      </c>
      <c r="E12" s="50" t="n">
        <f aca="false">Lockheed_Data!F5</f>
        <v>75048</v>
      </c>
    </row>
    <row r="13" customFormat="false" ht="15" hidden="false" customHeight="true" outlineLevel="0" collapsed="false">
      <c r="A13" s="13" t="s">
        <v>206</v>
      </c>
      <c r="C13" s="70" t="n">
        <f aca="false">C7/C11</f>
        <v>8315.06938821412</v>
      </c>
      <c r="D13" s="70" t="n">
        <f aca="false">D7/D11</f>
        <v>343.489208633094</v>
      </c>
      <c r="E13" s="70" t="n">
        <f aca="false">E7/E11</f>
        <v>5818.76220909091</v>
      </c>
    </row>
    <row r="15" customFormat="false" ht="15" hidden="false" customHeight="true" outlineLevel="0" collapsed="false">
      <c r="A15" s="19" t="s">
        <v>207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61F"/>
    <pageSetUpPr fitToPage="tru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5"/>
  </cols>
  <sheetData>
    <row r="1" customFormat="false" ht="30" hidden="false" customHeight="true" outlineLevel="0" collapsed="false">
      <c r="A1" s="2" t="s">
        <v>208</v>
      </c>
      <c r="B1" s="2"/>
      <c r="C1" s="2"/>
      <c r="D1" s="2"/>
      <c r="E1" s="2"/>
    </row>
    <row r="2" customFormat="false" ht="15.75" hidden="false" customHeight="true" outlineLevel="0" collapsed="false">
      <c r="A2" s="3" t="s">
        <v>209</v>
      </c>
      <c r="B2" s="3"/>
      <c r="C2" s="3"/>
      <c r="D2" s="3"/>
      <c r="E2" s="3"/>
    </row>
    <row r="4" customFormat="false" ht="15" hidden="false" customHeight="true" outlineLevel="0" collapsed="false">
      <c r="A4" s="13" t="s">
        <v>210</v>
      </c>
      <c r="D4" s="71" t="s">
        <v>211</v>
      </c>
    </row>
    <row r="5" customFormat="false" ht="15" hidden="false" customHeight="true" outlineLevel="0" collapsed="false">
      <c r="A5" s="13" t="s">
        <v>212</v>
      </c>
      <c r="D5" s="71" t="s">
        <v>14</v>
      </c>
    </row>
    <row r="7" customFormat="false" ht="19.5" hidden="false" customHeight="true" outlineLevel="0" collapsed="false">
      <c r="A7" s="4" t="s">
        <v>213</v>
      </c>
      <c r="B7" s="4"/>
      <c r="C7" s="4"/>
      <c r="D7" s="4"/>
      <c r="E7" s="4"/>
      <c r="F7" s="4"/>
      <c r="G7" s="4"/>
      <c r="H7" s="4"/>
    </row>
    <row r="8" customFormat="false" ht="15" hidden="false" customHeight="true" outlineLevel="0" collapsed="false">
      <c r="A8" s="11" t="s">
        <v>214</v>
      </c>
      <c r="B8" s="12" t="s">
        <v>215</v>
      </c>
      <c r="C8" s="12"/>
      <c r="D8" s="12"/>
      <c r="E8" s="12"/>
    </row>
    <row r="9" customFormat="false" ht="15" hidden="false" customHeight="true" outlineLevel="0" collapsed="false">
      <c r="A9" s="13" t="s">
        <v>216</v>
      </c>
      <c r="B9" s="72" t="n">
        <v>0.05</v>
      </c>
    </row>
    <row r="10" customFormat="false" ht="15" hidden="false" customHeight="true" outlineLevel="0" collapsed="false">
      <c r="A10" s="15" t="s">
        <v>211</v>
      </c>
      <c r="B10" s="72" t="n">
        <v>0.1</v>
      </c>
    </row>
    <row r="11" customFormat="false" ht="15" hidden="false" customHeight="true" outlineLevel="0" collapsed="false">
      <c r="A11" s="13" t="s">
        <v>217</v>
      </c>
      <c r="B11" s="72" t="n">
        <v>0.15</v>
      </c>
    </row>
    <row r="13" customFormat="false" ht="19.5" hidden="false" customHeight="true" outlineLevel="0" collapsed="false">
      <c r="A13" s="4" t="s">
        <v>218</v>
      </c>
      <c r="B13" s="4"/>
      <c r="C13" s="4"/>
      <c r="D13" s="4"/>
      <c r="E13" s="4"/>
      <c r="F13" s="4"/>
      <c r="G13" s="4"/>
      <c r="H13" s="4"/>
    </row>
    <row r="14" customFormat="false" ht="15" hidden="false" customHeight="true" outlineLevel="0" collapsed="false">
      <c r="A14" s="15" t="s">
        <v>219</v>
      </c>
      <c r="D14" s="73" t="n">
        <f aca="false">HAL_Data!F16</f>
        <v>780</v>
      </c>
    </row>
    <row r="15" customFormat="false" ht="15" hidden="false" customHeight="true" outlineLevel="0" collapsed="false">
      <c r="A15" s="13" t="s">
        <v>220</v>
      </c>
      <c r="D15" s="45" t="n">
        <f aca="false">HAL_Data!F12</f>
        <v>23319</v>
      </c>
    </row>
    <row r="16" customFormat="false" ht="15" hidden="false" customHeight="true" outlineLevel="0" collapsed="false">
      <c r="A16" s="15" t="s">
        <v>221</v>
      </c>
      <c r="D16" s="74" t="n">
        <f aca="false">INDEX($B$9:$B$11,MATCH($D$4,$A$9:$A$11,0))</f>
        <v>0.1</v>
      </c>
    </row>
    <row r="17" customFormat="false" ht="15" hidden="false" customHeight="true" outlineLevel="0" collapsed="false">
      <c r="A17" s="13" t="s">
        <v>222</v>
      </c>
      <c r="D17" s="75" t="n">
        <f aca="false">D14*(1-D16)</f>
        <v>702</v>
      </c>
    </row>
    <row r="18" customFormat="false" ht="15" hidden="false" customHeight="true" outlineLevel="0" collapsed="false">
      <c r="A18" s="15" t="s">
        <v>223</v>
      </c>
      <c r="D18" s="76" t="n">
        <f aca="false">D14-D17</f>
        <v>78</v>
      </c>
    </row>
    <row r="19" customFormat="false" ht="15" hidden="false" customHeight="true" outlineLevel="0" collapsed="false">
      <c r="A19" s="13" t="s">
        <v>224</v>
      </c>
      <c r="D19" s="46" t="n">
        <f aca="false">D14/365*D15</f>
        <v>49832.3835616438</v>
      </c>
    </row>
    <row r="20" customFormat="false" ht="15" hidden="false" customHeight="true" outlineLevel="0" collapsed="false">
      <c r="A20" s="77" t="s">
        <v>225</v>
      </c>
      <c r="D20" s="78" t="n">
        <f aca="false">D18/365*D15</f>
        <v>4983.23835616438</v>
      </c>
    </row>
    <row r="23" customFormat="false" ht="19.5" hidden="false" customHeight="true" outlineLevel="0" collapsed="false">
      <c r="A23" s="4" t="s">
        <v>226</v>
      </c>
      <c r="B23" s="4"/>
      <c r="C23" s="4"/>
      <c r="D23" s="4"/>
      <c r="E23" s="4"/>
      <c r="F23" s="4"/>
      <c r="G23" s="4"/>
      <c r="H23" s="4"/>
    </row>
    <row r="24" customFormat="false" ht="15" hidden="false" customHeight="true" outlineLevel="0" collapsed="false">
      <c r="A24" s="11" t="s">
        <v>12</v>
      </c>
      <c r="B24" s="12" t="s">
        <v>13</v>
      </c>
      <c r="C24" s="12" t="s">
        <v>227</v>
      </c>
      <c r="D24" s="12"/>
      <c r="E24" s="12"/>
    </row>
    <row r="25" customFormat="false" ht="15" hidden="false" customHeight="true" outlineLevel="0" collapsed="false">
      <c r="A25" s="13" t="s">
        <v>4</v>
      </c>
      <c r="B25" s="14" t="n">
        <f aca="false">HAL_Data!F11/HAL_Data!F5</f>
        <v>0.275499410680287</v>
      </c>
      <c r="C25" s="38" t="n">
        <f aca="false">IF($D$5="Dassault",Dassault_Data!F7/Dassault_Data!F5,Lockheed_Data!F8/Lockheed_Data!F5)</f>
        <v>0.142914870689655</v>
      </c>
    </row>
    <row r="26" customFormat="false" ht="15" hidden="false" customHeight="true" outlineLevel="0" collapsed="false">
      <c r="A26" s="15" t="s">
        <v>228</v>
      </c>
      <c r="B26" s="16" t="n">
        <f aca="false">POWER(HAL_Data!F5/HAL_Data!B5,1/4)-1</f>
        <v>0.0767103764103108</v>
      </c>
      <c r="C26" s="41" t="n">
        <f aca="false">IF($D$5="Dassault",POWER(Dassault_Data!F5/Dassault_Data!B5,1/4)-1,POWER(Lockheed_Data!F5/Lockheed_Data!B5,1/4)-1)</f>
        <v>0.00650251563997317</v>
      </c>
    </row>
    <row r="27" customFormat="false" ht="15" hidden="false" customHeight="true" outlineLevel="0" collapsed="false">
      <c r="A27" s="13" t="s">
        <v>16</v>
      </c>
      <c r="B27" s="17" t="n">
        <f aca="false">(HAL_Data!F14-HAL_Data!F11)/HAL_Data!F6</f>
        <v>-0.931934493346981</v>
      </c>
      <c r="C27" s="70" t="n">
        <f aca="false">IF($D$5="Dassault",-2.5,Lockheed_Data!F11/(Lockheed_Data!F5*Lockheed_Data!F16))</f>
        <v>-2.5</v>
      </c>
    </row>
  </sheetData>
  <mergeCells count="5">
    <mergeCell ref="A1:E1"/>
    <mergeCell ref="A2:E2"/>
    <mergeCell ref="A7:H7"/>
    <mergeCell ref="A13:H13"/>
    <mergeCell ref="A23:H23"/>
  </mergeCells>
  <dataValidations count="2">
    <dataValidation allowBlank="false" errorStyle="stop" operator="between" showDropDown="false" showErrorMessage="false" showInputMessage="false" sqref="D4" type="list">
      <formula1>"Conservative,Base case,Aggressive"</formula1>
      <formula2>0</formula2>
    </dataValidation>
    <dataValidation allowBlank="false" errorStyle="stop" operator="between" showDropDown="false" showErrorMessage="false" showInputMessage="false" sqref="D5" type="list">
      <formula1>"Dassault,Lockheed Martin"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54"/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6"/>
    <col collapsed="false" customWidth="true" hidden="false" outlineLevel="0" max="4" min="4" style="1" width="44"/>
  </cols>
  <sheetData>
    <row r="1" customFormat="false" ht="30" hidden="false" customHeight="true" outlineLevel="0" collapsed="false">
      <c r="A1" s="2" t="s">
        <v>229</v>
      </c>
      <c r="B1" s="2"/>
      <c r="C1" s="2"/>
      <c r="D1" s="2"/>
    </row>
    <row r="2" customFormat="false" ht="15.75" hidden="false" customHeight="true" outlineLevel="0" collapsed="false">
      <c r="A2" s="3" t="s">
        <v>230</v>
      </c>
      <c r="B2" s="3"/>
      <c r="C2" s="3"/>
      <c r="D2" s="3"/>
    </row>
    <row r="4" customFormat="false" ht="15" hidden="false" customHeight="true" outlineLevel="0" collapsed="false">
      <c r="A4" s="11" t="s">
        <v>231</v>
      </c>
      <c r="B4" s="12" t="s">
        <v>232</v>
      </c>
      <c r="C4" s="12" t="s">
        <v>233</v>
      </c>
      <c r="D4" s="12" t="s">
        <v>234</v>
      </c>
    </row>
    <row r="5" customFormat="false" ht="15" hidden="false" customHeight="true" outlineLevel="0" collapsed="false">
      <c r="A5" s="13" t="s">
        <v>235</v>
      </c>
      <c r="B5" s="79" t="s">
        <v>236</v>
      </c>
      <c r="C5" s="80" t="s">
        <v>237</v>
      </c>
      <c r="D5" s="21" t="s">
        <v>238</v>
      </c>
    </row>
    <row r="6" customFormat="false" ht="15" hidden="false" customHeight="true" outlineLevel="0" collapsed="false">
      <c r="A6" s="15" t="s">
        <v>239</v>
      </c>
      <c r="B6" s="79" t="s">
        <v>236</v>
      </c>
      <c r="C6" s="80" t="s">
        <v>237</v>
      </c>
      <c r="D6" s="22" t="s">
        <v>240</v>
      </c>
    </row>
    <row r="7" customFormat="false" ht="15" hidden="false" customHeight="true" outlineLevel="0" collapsed="false">
      <c r="A7" s="13" t="s">
        <v>241</v>
      </c>
      <c r="B7" s="79" t="s">
        <v>236</v>
      </c>
      <c r="C7" s="79" t="s">
        <v>236</v>
      </c>
      <c r="D7" s="21" t="s">
        <v>242</v>
      </c>
    </row>
    <row r="8" customFormat="false" ht="15" hidden="false" customHeight="true" outlineLevel="0" collapsed="false">
      <c r="A8" s="15" t="s">
        <v>243</v>
      </c>
      <c r="B8" s="79" t="s">
        <v>236</v>
      </c>
      <c r="C8" s="80" t="s">
        <v>237</v>
      </c>
      <c r="D8" s="22" t="s">
        <v>244</v>
      </c>
    </row>
    <row r="9" customFormat="false" ht="15" hidden="false" customHeight="true" outlineLevel="0" collapsed="false">
      <c r="A9" s="13" t="s">
        <v>245</v>
      </c>
      <c r="B9" s="81" t="s">
        <v>246</v>
      </c>
      <c r="C9" s="82" t="s">
        <v>247</v>
      </c>
      <c r="D9" s="21" t="s">
        <v>248</v>
      </c>
    </row>
    <row r="10" customFormat="false" ht="15" hidden="false" customHeight="true" outlineLevel="0" collapsed="false">
      <c r="A10" s="15" t="s">
        <v>249</v>
      </c>
      <c r="B10" s="79" t="s">
        <v>236</v>
      </c>
      <c r="C10" s="80" t="s">
        <v>237</v>
      </c>
      <c r="D10" s="22" t="s">
        <v>250</v>
      </c>
    </row>
    <row r="11" customFormat="false" ht="15" hidden="false" customHeight="true" outlineLevel="0" collapsed="false">
      <c r="A11" s="13" t="s">
        <v>251</v>
      </c>
      <c r="B11" s="80" t="s">
        <v>237</v>
      </c>
      <c r="C11" s="79" t="s">
        <v>236</v>
      </c>
      <c r="D11" s="21" t="s">
        <v>252</v>
      </c>
    </row>
    <row r="12" customFormat="false" ht="15" hidden="false" customHeight="true" outlineLevel="0" collapsed="false">
      <c r="A12" s="15" t="s">
        <v>253</v>
      </c>
      <c r="B12" s="82" t="s">
        <v>247</v>
      </c>
      <c r="C12" s="81" t="s">
        <v>246</v>
      </c>
      <c r="D12" s="22" t="s">
        <v>254</v>
      </c>
    </row>
    <row r="13" customFormat="false" ht="15" hidden="false" customHeight="true" outlineLevel="0" collapsed="false">
      <c r="A13" s="13" t="s">
        <v>255</v>
      </c>
      <c r="B13" s="82" t="s">
        <v>247</v>
      </c>
      <c r="C13" s="81" t="s">
        <v>246</v>
      </c>
      <c r="D13" s="21" t="s">
        <v>256</v>
      </c>
    </row>
    <row r="14" customFormat="false" ht="15" hidden="false" customHeight="true" outlineLevel="0" collapsed="false">
      <c r="A14" s="15" t="s">
        <v>257</v>
      </c>
      <c r="B14" s="81" t="s">
        <v>246</v>
      </c>
      <c r="C14" s="80" t="s">
        <v>237</v>
      </c>
      <c r="D14" s="22" t="s">
        <v>258</v>
      </c>
    </row>
    <row r="15" customFormat="false" ht="15" hidden="false" customHeight="true" outlineLevel="0" collapsed="false">
      <c r="A15" s="13" t="s">
        <v>259</v>
      </c>
      <c r="B15" s="80" t="s">
        <v>237</v>
      </c>
      <c r="C15" s="79" t="s">
        <v>236</v>
      </c>
      <c r="D15" s="21" t="s">
        <v>260</v>
      </c>
    </row>
    <row r="16" customFormat="false" ht="15" hidden="false" customHeight="true" outlineLevel="0" collapsed="false">
      <c r="A16" s="15" t="s">
        <v>261</v>
      </c>
      <c r="B16" s="79" t="s">
        <v>236</v>
      </c>
      <c r="C16" s="79" t="s">
        <v>236</v>
      </c>
      <c r="D16" s="22" t="s">
        <v>262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54"/>
    <pageSetUpPr fitToPage="tru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2"/>
  </cols>
  <sheetData>
    <row r="1" customFormat="false" ht="30" hidden="false" customHeight="true" outlineLevel="0" collapsed="false">
      <c r="A1" s="2" t="s">
        <v>263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264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19" t="s">
        <v>265</v>
      </c>
    </row>
    <row r="5" customFormat="false" ht="15" hidden="false" customHeight="true" outlineLevel="0" collapsed="false">
      <c r="A5" s="11" t="s">
        <v>266</v>
      </c>
      <c r="B5" s="12" t="s">
        <v>13</v>
      </c>
      <c r="C5" s="12" t="s">
        <v>14</v>
      </c>
      <c r="D5" s="12" t="s">
        <v>15</v>
      </c>
      <c r="E5" s="12"/>
    </row>
    <row r="6" customFormat="false" ht="15" hidden="false" customHeight="true" outlineLevel="0" collapsed="false">
      <c r="A6" s="42" t="s">
        <v>267</v>
      </c>
      <c r="B6" s="14" t="n">
        <f aca="false">HAL_Data!B11/HAL_Data!B5</f>
        <v>0.206336311941511</v>
      </c>
      <c r="C6" s="14" t="n">
        <f aca="false">Dassault_Data!B7/Dassault_Data!B5</f>
        <v>0.0957976223389549</v>
      </c>
      <c r="D6" s="14" t="n">
        <f aca="false">Lockheed_Data!B8/Lockheed_Data!B5</f>
        <v>0.0941918739931985</v>
      </c>
    </row>
    <row r="7" customFormat="false" ht="15" hidden="false" customHeight="true" outlineLevel="0" collapsed="false">
      <c r="A7" s="42" t="s">
        <v>268</v>
      </c>
      <c r="B7" s="14" t="n">
        <f aca="false">HAL_Data!C11/HAL_Data!C5</f>
        <v>0.216437033460839</v>
      </c>
      <c r="C7" s="14" t="n">
        <f aca="false">Dassault_Data!C7/Dassault_Data!C5</f>
        <v>0.11976911976912</v>
      </c>
      <c r="D7" s="14" t="n">
        <f aca="false">Lockheed_Data!C8/Lockheed_Data!C5</f>
        <v>0.0868695441319108</v>
      </c>
    </row>
    <row r="8" customFormat="false" ht="15" hidden="false" customHeight="true" outlineLevel="0" collapsed="false">
      <c r="A8" s="42" t="s">
        <v>269</v>
      </c>
      <c r="B8" s="14" t="n">
        <f aca="false">HAL_Data!D11/HAL_Data!D5</f>
        <v>0.250847569204437</v>
      </c>
      <c r="C8" s="14" t="n">
        <f aca="false">Dassault_Data!D7/Dassault_Data!D5</f>
        <v>0.184391259105099</v>
      </c>
      <c r="D8" s="14" t="n">
        <f aca="false">Lockheed_Data!D8/Lockheed_Data!D5</f>
        <v>0.102410797531485</v>
      </c>
    </row>
    <row r="9" customFormat="false" ht="15" hidden="false" customHeight="true" outlineLevel="0" collapsed="false">
      <c r="A9" s="42" t="s">
        <v>270</v>
      </c>
      <c r="B9" s="14" t="n">
        <f aca="false">HAL_Data!E11/HAL_Data!E5</f>
        <v>0.26997191827249</v>
      </c>
      <c r="C9" s="14" t="n">
        <f aca="false">Dassault_Data!E7/Dassault_Data!E5</f>
        <v>0.169993560849968</v>
      </c>
      <c r="D9" s="14" t="n">
        <f aca="false">Lockheed_Data!E8/Lockheed_Data!E5</f>
        <v>0.0751094407612291</v>
      </c>
    </row>
    <row r="10" customFormat="false" ht="15" hidden="false" customHeight="true" outlineLevel="0" collapsed="false">
      <c r="A10" s="42" t="s">
        <v>271</v>
      </c>
      <c r="B10" s="14" t="n">
        <f aca="false">HAL_Data!F11/HAL_Data!F5</f>
        <v>0.275499410680287</v>
      </c>
      <c r="C10" s="14" t="n">
        <f aca="false">Dassault_Data!F7/Dassault_Data!F5</f>
        <v>0.142914870689655</v>
      </c>
      <c r="D10" s="14" t="n">
        <f aca="false">Lockheed_Data!F8/Lockheed_Data!F5</f>
        <v>0.0668505489819849</v>
      </c>
    </row>
    <row r="13" customFormat="false" ht="15" hidden="false" customHeight="true" outlineLevel="0" collapsed="false">
      <c r="A13" s="19" t="s">
        <v>272</v>
      </c>
    </row>
    <row r="14" customFormat="false" ht="15" hidden="false" customHeight="true" outlineLevel="0" collapsed="false">
      <c r="A14" s="11" t="s">
        <v>266</v>
      </c>
      <c r="B14" s="12" t="s">
        <v>56</v>
      </c>
      <c r="C14" s="12"/>
      <c r="D14" s="12"/>
      <c r="E14" s="12"/>
    </row>
    <row r="15" customFormat="false" ht="15" hidden="false" customHeight="true" outlineLevel="0" collapsed="false">
      <c r="A15" s="42" t="s">
        <v>55</v>
      </c>
      <c r="B15" s="45" t="n">
        <f aca="false">HAL_Forecast!B5</f>
        <v>33089</v>
      </c>
    </row>
    <row r="16" customFormat="false" ht="15" hidden="false" customHeight="true" outlineLevel="0" collapsed="false">
      <c r="A16" s="42" t="s">
        <v>136</v>
      </c>
      <c r="B16" s="45" t="n">
        <f aca="false">HAL_Forecast!C5</f>
        <v>37390.57</v>
      </c>
    </row>
    <row r="17" customFormat="false" ht="15" hidden="false" customHeight="true" outlineLevel="0" collapsed="false">
      <c r="A17" s="42" t="s">
        <v>137</v>
      </c>
      <c r="B17" s="45" t="n">
        <f aca="false">HAL_Forecast!D5</f>
        <v>42251.3441</v>
      </c>
    </row>
    <row r="18" customFormat="false" ht="15" hidden="false" customHeight="true" outlineLevel="0" collapsed="false">
      <c r="A18" s="42" t="s">
        <v>138</v>
      </c>
      <c r="B18" s="45" t="n">
        <f aca="false">HAL_Forecast!E5</f>
        <v>47744.018833</v>
      </c>
    </row>
    <row r="19" customFormat="false" ht="15" hidden="false" customHeight="true" outlineLevel="0" collapsed="false">
      <c r="A19" s="42" t="s">
        <v>139</v>
      </c>
      <c r="B19" s="45" t="n">
        <f aca="false">HAL_Forecast!F5</f>
        <v>53950.74128129</v>
      </c>
    </row>
    <row r="20" customFormat="false" ht="15" hidden="false" customHeight="true" outlineLevel="0" collapsed="false">
      <c r="A20" s="42" t="s">
        <v>140</v>
      </c>
      <c r="B20" s="45" t="n">
        <f aca="false">HAL_Forecast!G5</f>
        <v>60964.3376478577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2026-06-17T11:21:41Z</dcterms:created>
  <dc:creator>openpyxl</dc:creator>
  <dc:description/>
  <dc:language>en-US</dc:language>
  <cp:lastModifiedBy/>
  <dcterms:modified xsi:type="dcterms:W3CDTF">2026-07-12T08:19:43Z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